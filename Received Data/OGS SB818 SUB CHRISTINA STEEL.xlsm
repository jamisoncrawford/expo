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093e74c747ff836/NYS Fairgrounds Expo/Expo Monthly Submittals/"/>
    </mc:Choice>
  </mc:AlternateContent>
  <xr:revisionPtr revIDLastSave="0" documentId="10_ncr:8100000_{DD06158C-6A37-4EC3-80C8-B917AA4F17BF}" xr6:coauthVersionLast="32" xr6:coauthVersionMax="32" xr10:uidLastSave="{00000000-0000-0000-0000-000000000000}"/>
  <bookViews>
    <workbookView xWindow="0" yWindow="0" windowWidth="21570" windowHeight="796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" l="1"/>
  <c r="E22" i="1" l="1"/>
  <c r="AI39" i="1" l="1"/>
  <c r="AF39" i="1"/>
  <c r="AC39" i="1"/>
  <c r="Z39" i="1"/>
  <c r="W39" i="1"/>
  <c r="T39" i="1"/>
  <c r="Q39" i="1"/>
  <c r="N39" i="1"/>
  <c r="AH39" i="1"/>
  <c r="J39" i="1" l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<sst xmlns="http://schemas.openxmlformats.org/spreadsheetml/2006/main" count="2107" uniqueCount="1845">
  <si>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</si>
  <si>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</si>
  <si>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</si>
  <si>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</si>
  <si>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</si>
  <si>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</si>
  <si>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</si>
  <si>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</si>
  <si>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</si>
  <si>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</si>
  <si>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</si>
  <si>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</si>
  <si>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</si>
  <si>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</si>
  <si>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</si>
  <si>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</si>
  <si>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</si>
  <si>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</si>
  <si>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</si>
  <si>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</si>
  <si>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</si>
  <si>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</si>
  <si>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</si>
  <si>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</si>
  <si>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</si>
  <si>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</si>
  <si>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</si>
  <si>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</si>
  <si>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</si>
  <si>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</si>
  <si>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</si>
  <si>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</si>
  <si>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</si>
  <si>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</si>
  <si>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</si>
  <si>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</si>
  <si>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</si>
  <si>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</si>
  <si>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</si>
  <si>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</si>
  <si>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</si>
  <si>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</si>
  <si>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</si>
  <si>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</si>
  <si>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</si>
  <si>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</si>
  <si>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</si>
  <si>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</si>
  <si>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</si>
  <si>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</si>
  <si>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</si>
  <si>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</si>
  <si>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</si>
  <si>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</si>
  <si>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</si>
  <si>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</si>
  <si>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</si>
  <si>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</si>
  <si>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</si>
  <si>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</si>
  <si>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</si>
  <si>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</si>
  <si>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</si>
  <si>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</si>
  <si>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</si>
  <si>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</si>
  <si>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</si>
  <si>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</si>
  <si>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</si>
  <si>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</si>
  <si>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</si>
  <si>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</si>
  <si>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</si>
  <si>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</si>
  <si>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</si>
  <si>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</si>
  <si>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</si>
  <si>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</si>
  <si>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</si>
  <si>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</si>
  <si>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</si>
  <si>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</si>
  <si>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</si>
  <si>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</si>
  <si>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</si>
  <si>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</si>
  <si>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</si>
  <si>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</si>
  <si>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</si>
  <si>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</si>
  <si>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</si>
  <si>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</si>
  <si>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</si>
  <si>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</si>
  <si>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</si>
  <si>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</si>
  <si>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</si>
  <si>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</si>
  <si>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</si>
  <si>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</si>
  <si>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</si>
  <si>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</si>
  <si>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</si>
  <si>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</si>
  <si>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</si>
  <si>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</si>
  <si>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</si>
  <si>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</si>
  <si>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</si>
  <si>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</si>
  <si>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</si>
  <si>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</si>
  <si>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</si>
  <si>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</si>
  <si>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</si>
  <si>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</si>
  <si>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</si>
  <si>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</si>
  <si>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</si>
  <si>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</si>
  <si>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</si>
  <si>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</si>
  <si>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</si>
  <si>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</si>
  <si>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</si>
  <si>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</si>
  <si>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</si>
  <si>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</si>
  <si>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</si>
  <si>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</si>
  <si>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</si>
  <si>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</si>
  <si>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</si>
  <si>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</si>
  <si>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</si>
  <si>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</si>
  <si>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</si>
  <si>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</si>
  <si>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</si>
  <si>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</si>
  <si>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</si>
  <si>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</si>
  <si>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</si>
  <si>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</si>
  <si>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</si>
  <si>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</si>
  <si>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</si>
  <si>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</si>
  <si>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</si>
  <si>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</si>
  <si>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</si>
  <si>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</si>
  <si>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</si>
  <si>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</si>
  <si>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</si>
  <si>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</si>
  <si>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</si>
  <si>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</si>
  <si>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</si>
  <si>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</si>
  <si>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</si>
  <si>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</si>
  <si>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</si>
  <si>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</si>
  <si>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</si>
  <si>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</si>
  <si>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</si>
  <si>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</si>
  <si>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</si>
  <si>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</si>
  <si>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</si>
  <si>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</si>
  <si>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</si>
  <si>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</si>
  <si>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</si>
  <si>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</si>
  <si>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</si>
  <si>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</si>
  <si>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</si>
  <si>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</si>
  <si>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</si>
  <si>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</si>
  <si>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</si>
  <si>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</si>
  <si>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</si>
  <si>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</si>
  <si>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</si>
  <si>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</si>
  <si>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</si>
  <si>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</si>
  <si>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</si>
  <si>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</si>
  <si>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</si>
  <si>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</si>
  <si>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</si>
  <si>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</si>
  <si>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</si>
  <si>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</si>
  <si>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</si>
  <si>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</si>
  <si>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</si>
  <si>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</si>
  <si>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</si>
  <si>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</si>
  <si>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</si>
  <si>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</si>
  <si>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</si>
  <si>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</si>
  <si>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</si>
  <si>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</si>
  <si>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</si>
  <si>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</si>
  <si>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</si>
  <si>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</si>
  <si>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</si>
  <si>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</si>
  <si>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</si>
  <si>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</si>
  <si>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</si>
  <si>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</si>
  <si>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</si>
  <si>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</si>
  <si>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</si>
  <si>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</si>
  <si>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</si>
  <si>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</si>
  <si>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</si>
  <si>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</si>
  <si>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</si>
  <si>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</si>
  <si>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</si>
  <si>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</si>
  <si>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</si>
  <si>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</si>
  <si>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</si>
  <si>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</si>
  <si>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</si>
  <si>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</si>
  <si>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</si>
  <si>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</si>
  <si>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</si>
  <si>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</si>
  <si>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</si>
  <si>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</si>
  <si>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</si>
  <si>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</si>
  <si>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</si>
  <si>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</si>
  <si>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</si>
  <si>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</si>
  <si>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</si>
  <si>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</si>
  <si>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</si>
  <si>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</si>
  <si>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</si>
  <si>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</si>
  <si>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</si>
  <si>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</si>
  <si>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</si>
  <si>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</si>
  <si>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</si>
  <si>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</si>
  <si>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</si>
  <si>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</si>
  <si>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</si>
  <si>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</si>
  <si>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</si>
  <si>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</si>
  <si>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</si>
  <si>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</si>
  <si>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</si>
  <si>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</si>
  <si>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</si>
  <si>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</si>
  <si>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</si>
  <si>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</si>
  <si>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</si>
  <si>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</si>
  <si>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</si>
  <si>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</si>
  <si>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</si>
  <si>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</si>
  <si>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</si>
  <si>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</si>
  <si>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</si>
  <si>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</si>
  <si>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</si>
  <si>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</si>
  <si>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</si>
  <si>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</si>
  <si>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</si>
  <si>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</si>
  <si>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</si>
  <si>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</si>
  <si>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</si>
  <si>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</si>
  <si>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</si>
  <si>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</si>
  <si>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</si>
  <si>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</si>
  <si>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</si>
  <si>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</si>
  <si>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</si>
  <si>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</si>
  <si>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</si>
  <si>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</si>
  <si>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</si>
  <si>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</si>
  <si>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</si>
  <si>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</si>
  <si>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</si>
  <si>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</si>
  <si>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</si>
  <si>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</si>
  <si>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</si>
  <si>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</si>
  <si>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</si>
  <si>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</si>
  <si>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</si>
  <si>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</si>
  <si>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</si>
  <si>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</si>
  <si>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</si>
  <si>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</si>
  <si>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</si>
  <si>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</si>
  <si>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</si>
  <si>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</si>
  <si>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</si>
  <si>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</si>
  <si>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</si>
  <si>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</si>
  <si>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</si>
  <si>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</si>
  <si>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</si>
  <si>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</si>
  <si>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</si>
  <si>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</si>
  <si>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</si>
  <si>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</si>
  <si>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</si>
  <si>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</si>
  <si>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</si>
  <si>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</si>
  <si>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</si>
  <si>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</si>
  <si>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</si>
  <si>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</si>
  <si>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</si>
  <si>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</si>
  <si>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</si>
  <si>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</si>
  <si>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</si>
  <si>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</si>
  <si>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</si>
  <si>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</si>
  <si>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</si>
  <si>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</si>
  <si>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</si>
  <si>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</si>
  <si>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</si>
  <si>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</si>
  <si>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</si>
  <si>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</si>
  <si>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</si>
  <si>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</si>
  <si>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</si>
  <si>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</si>
  <si>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</si>
  <si>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</si>
  <si>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</si>
  <si>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</si>
  <si>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</si>
  <si>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</si>
  <si>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</si>
  <si>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</si>
  <si>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</si>
  <si>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</si>
  <si>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</si>
  <si>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</si>
  <si>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</si>
  <si>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</si>
  <si>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</si>
  <si>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</si>
  <si>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</si>
  <si>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</si>
  <si>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</si>
  <si>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</si>
  <si>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</si>
  <si>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</si>
  <si>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</si>
  <si>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</si>
  <si>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</si>
  <si>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</si>
  <si>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</si>
  <si>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</si>
  <si>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</si>
  <si>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</si>
  <si>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</si>
  <si>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</si>
  <si>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</si>
  <si>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</si>
  <si>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</si>
  <si>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</si>
  <si>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</si>
  <si>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</si>
  <si>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</si>
  <si>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</si>
  <si>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</si>
  <si>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</si>
  <si>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</si>
  <si>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</si>
  <si>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</si>
  <si>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</si>
  <si>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</si>
  <si>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</si>
  <si>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</si>
  <si>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</si>
  <si>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</si>
  <si>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</si>
  <si>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</si>
  <si>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</si>
  <si>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</si>
  <si>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</si>
  <si>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</si>
  <si>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</si>
  <si>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</si>
  <si>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</si>
  <si>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</si>
  <si>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</si>
  <si>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</si>
  <si>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</si>
  <si>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</si>
  <si>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</si>
  <si>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</si>
  <si>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</si>
  <si>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</si>
  <si>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</si>
  <si>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</si>
  <si>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</si>
  <si>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</si>
  <si>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</si>
  <si>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</si>
  <si>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</si>
  <si>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</si>
  <si>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</si>
  <si>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</si>
  <si>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</si>
  <si>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</si>
  <si>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</si>
  <si>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</si>
  <si>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</si>
  <si>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</si>
  <si>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</si>
  <si>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</si>
  <si>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</si>
  <si>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</si>
  <si>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</si>
  <si>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</si>
  <si>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</si>
  <si>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</si>
  <si>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</si>
  <si>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</si>
  <si>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</si>
  <si>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</si>
  <si>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</si>
  <si>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</si>
  <si>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</si>
  <si>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</si>
  <si>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</si>
  <si>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</si>
  <si>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</si>
  <si>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</si>
  <si>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</si>
  <si>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</si>
  <si>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</si>
  <si>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</si>
  <si>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</si>
  <si>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</si>
  <si>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</si>
  <si>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</si>
  <si>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</si>
  <si>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</si>
  <si>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</si>
  <si>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</si>
  <si>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</si>
  <si>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</si>
  <si>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</si>
  <si>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</si>
  <si>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</si>
  <si>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</si>
  <si>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</si>
  <si>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</si>
  <si>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</si>
  <si>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</si>
  <si>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</si>
  <si>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</si>
  <si>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</si>
  <si>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</si>
  <si>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</si>
  <si>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</si>
  <si>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</si>
  <si>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</si>
  <si>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</si>
  <si>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</si>
  <si>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</si>
  <si>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</si>
  <si>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</si>
  <si>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</si>
  <si>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</si>
  <si>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</si>
  <si>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</si>
  <si>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</si>
  <si>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</si>
  <si>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</si>
  <si>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</si>
  <si>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</si>
  <si>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</si>
  <si>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</si>
  <si>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</si>
  <si>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</si>
  <si>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</si>
  <si>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</si>
  <si>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</si>
  <si>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</si>
  <si>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</si>
  <si>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</si>
  <si>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</si>
  <si>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</si>
  <si>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</si>
  <si>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</si>
  <si>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</si>
  <si>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</si>
  <si>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</si>
  <si>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</si>
  <si>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</si>
  <si>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</si>
  <si>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</si>
  <si>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</si>
  <si>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</si>
  <si>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</si>
  <si>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</si>
  <si>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</si>
  <si>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</si>
  <si>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</si>
  <si>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</si>
  <si>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</si>
  <si>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</si>
  <si>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</si>
  <si>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</si>
  <si>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</si>
  <si>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</si>
  <si>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</si>
  <si>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</si>
  <si>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</si>
  <si>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</si>
  <si>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</si>
  <si>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</si>
  <si>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</si>
  <si>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</si>
  <si>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</si>
  <si>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</si>
  <si>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</si>
  <si>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</si>
  <si>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</si>
  <si>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</si>
  <si>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</si>
  <si>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</si>
  <si>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</si>
  <si>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</si>
  <si>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</si>
  <si>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</si>
  <si>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</si>
  <si>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</si>
  <si>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</si>
  <si>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</si>
  <si>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</si>
  <si>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</si>
  <si>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</si>
  <si>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</si>
  <si>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</si>
  <si>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</si>
  <si>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</si>
  <si>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</si>
  <si>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</si>
  <si>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</si>
  <si>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</si>
  <si>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</si>
  <si>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</si>
  <si>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</si>
  <si>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</si>
  <si>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</si>
  <si>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</si>
  <si>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</si>
  <si>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</si>
  <si>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</si>
  <si>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</si>
  <si>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</si>
  <si>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</si>
  <si>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</si>
  <si>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</si>
  <si>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</si>
  <si>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</si>
  <si>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</si>
  <si>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</si>
  <si>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</si>
  <si>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</si>
  <si>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</si>
  <si>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</si>
  <si>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</si>
  <si>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</si>
  <si>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</si>
  <si>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</si>
  <si>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</si>
  <si>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</si>
  <si>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</si>
  <si>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</si>
  <si>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</si>
  <si>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</si>
  <si>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</si>
  <si>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</si>
  <si>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</si>
  <si>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</si>
  <si>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</si>
  <si>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</si>
  <si>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</si>
  <si>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</si>
  <si>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</si>
  <si>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</si>
  <si>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</si>
  <si>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</si>
  <si>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</si>
  <si>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</si>
  <si>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</si>
  <si>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</si>
  <si>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</si>
  <si>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</si>
  <si>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</si>
  <si>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</si>
  <si>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</si>
  <si>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</si>
  <si>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</si>
  <si>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</si>
  <si>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</si>
  <si>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</si>
  <si>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</si>
  <si>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</si>
  <si>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</si>
  <si>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</si>
  <si>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</si>
  <si>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</si>
  <si>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</si>
  <si>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</si>
  <si>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</si>
  <si>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</si>
  <si>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</si>
  <si>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</si>
  <si>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</si>
  <si>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</si>
  <si>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</si>
  <si>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</si>
  <si>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</si>
  <si>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</si>
  <si>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</si>
  <si>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</si>
  <si>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</si>
  <si>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</si>
  <si>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</si>
  <si>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</si>
  <si>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</si>
  <si>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</si>
  <si>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</si>
  <si>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</si>
  <si>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</si>
  <si>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</si>
  <si>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</si>
  <si>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</si>
  <si>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</si>
  <si>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</si>
  <si>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</si>
  <si>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</si>
  <si>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</si>
  <si>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</si>
  <si>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</si>
  <si>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</si>
  <si>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</si>
  <si>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</si>
  <si>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</si>
  <si>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</si>
  <si>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</si>
  <si>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</si>
  <si>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</si>
  <si>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</si>
  <si>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</si>
  <si>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</si>
  <si>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</si>
  <si>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</si>
  <si>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</si>
  <si>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</si>
  <si>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</si>
  <si>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</si>
  <si>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</si>
  <si>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</si>
  <si>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</si>
  <si>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</si>
  <si>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</si>
  <si>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</si>
  <si>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</si>
  <si>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</si>
  <si>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</si>
  <si>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</si>
  <si>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</si>
  <si>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</si>
  <si>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</si>
  <si>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</si>
  <si>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</si>
  <si>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</si>
  <si>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</si>
  <si>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</si>
  <si>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</si>
  <si>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</si>
  <si>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</si>
  <si>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</si>
  <si>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</si>
  <si>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</si>
  <si>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</si>
  <si>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</si>
  <si>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</si>
  <si>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</si>
  <si>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</si>
  <si>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</si>
  <si>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</si>
  <si>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</si>
  <si>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</si>
  <si>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</si>
  <si>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</si>
  <si>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</si>
  <si>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</si>
  <si>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</si>
  <si>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</si>
  <si>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</si>
  <si>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</si>
  <si>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</si>
  <si>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</si>
  <si>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</si>
  <si>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</si>
  <si>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</si>
  <si>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</si>
  <si>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</si>
  <si>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</si>
  <si>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</si>
  <si>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</si>
  <si>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</si>
  <si>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</si>
  <si>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</si>
  <si>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</si>
  <si>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</si>
  <si>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</si>
  <si>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</si>
  <si>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</si>
  <si>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</si>
  <si>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</si>
  <si>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</si>
  <si>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</si>
  <si>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</si>
  <si>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</si>
  <si>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</si>
  <si>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</si>
  <si>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</si>
  <si>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</si>
  <si>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</si>
  <si>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</si>
  <si>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</si>
  <si>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</si>
  <si>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</si>
  <si>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</si>
  <si>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</si>
  <si>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</si>
  <si>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</si>
  <si>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</si>
  <si>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</si>
  <si>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</si>
  <si>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</si>
  <si>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</si>
  <si>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</si>
  <si>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</si>
  <si>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</si>
  <si>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</si>
  <si>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</si>
  <si>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</si>
  <si>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</si>
  <si>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</si>
  <si>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</si>
  <si>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</si>
  <si>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</si>
  <si>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</si>
  <si>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</si>
  <si>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</si>
  <si>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</si>
  <si>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</si>
  <si>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</si>
  <si>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</si>
  <si>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</si>
  <si>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</si>
  <si>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</si>
  <si>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</si>
  <si>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</si>
  <si>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</si>
  <si>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</si>
  <si>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</si>
  <si>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</si>
  <si>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</si>
  <si>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</si>
  <si>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</si>
  <si>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</si>
  <si>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</si>
  <si>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</si>
  <si>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</si>
  <si>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</si>
  <si>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</si>
  <si>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</si>
  <si>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</si>
  <si>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</si>
  <si>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</si>
  <si>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</si>
  <si>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</si>
  <si>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</si>
  <si>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</si>
  <si>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</si>
  <si>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</si>
  <si>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</si>
  <si>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</si>
  <si>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</si>
  <si>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</si>
  <si>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</si>
  <si>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</si>
  <si>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</si>
  <si>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</si>
  <si>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</si>
  <si>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</si>
  <si>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</si>
  <si>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</si>
  <si>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</si>
  <si>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</si>
  <si>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</si>
  <si>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</si>
  <si>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</si>
  <si>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</si>
  <si>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</si>
  <si>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</si>
  <si>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</si>
  <si>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</si>
  <si>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</si>
  <si>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</si>
  <si>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</si>
  <si>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</si>
  <si>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</si>
  <si>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</si>
  <si>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</si>
  <si>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</si>
  <si>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</si>
  <si>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</si>
  <si>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</si>
  <si>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</si>
  <si>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</si>
  <si>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</si>
  <si>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</si>
  <si>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</si>
  <si>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</si>
  <si>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</si>
  <si>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</si>
  <si>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</si>
  <si>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</si>
  <si>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</si>
  <si>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</si>
  <si>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</si>
  <si>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</si>
  <si>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</si>
  <si>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</si>
  <si>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</si>
  <si>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</si>
  <si>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</si>
  <si>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</si>
  <si>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</si>
  <si>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</si>
  <si>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</si>
  <si>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</si>
  <si>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</si>
  <si>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</si>
  <si>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</si>
  <si>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</si>
  <si>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</si>
  <si>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</si>
  <si>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</si>
  <si>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</si>
  <si>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</si>
  <si>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</si>
  <si>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</si>
  <si>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</si>
  <si>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</si>
  <si>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</si>
  <si>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</si>
  <si>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</si>
  <si>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</si>
  <si>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</si>
  <si>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</si>
  <si>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</si>
  <si>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</si>
  <si>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</si>
  <si>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</si>
  <si>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</si>
  <si>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</si>
  <si>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</si>
  <si>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</si>
  <si>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</si>
  <si>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</si>
  <si>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</si>
  <si>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</si>
  <si>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</si>
  <si>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</si>
  <si>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</si>
  <si>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</si>
  <si>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</si>
  <si>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</si>
  <si>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</si>
  <si>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</si>
  <si>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</si>
  <si>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</si>
  <si>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</si>
  <si>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</si>
  <si>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</si>
  <si>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</si>
  <si>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</si>
  <si>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</si>
  <si>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</si>
  <si>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</si>
  <si>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</si>
  <si>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</si>
  <si>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</si>
  <si>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</si>
  <si>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</si>
  <si>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</si>
  <si>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</si>
  <si>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</si>
  <si>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</si>
  <si>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</si>
  <si>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</si>
  <si>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</si>
  <si>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</si>
  <si>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</si>
  <si>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</si>
  <si>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</si>
  <si>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</si>
  <si>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</si>
  <si>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</si>
  <si>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</si>
  <si>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</si>
  <si>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</si>
  <si>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</si>
  <si>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</si>
  <si>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</si>
  <si>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</si>
  <si>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</si>
  <si>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</si>
  <si>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</si>
  <si>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</si>
  <si>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</si>
  <si>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</si>
  <si>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</si>
  <si>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</si>
  <si>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</si>
  <si>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</si>
  <si>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</si>
  <si>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</si>
  <si>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</si>
  <si>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</si>
  <si>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</si>
  <si>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</si>
  <si>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</si>
  <si>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</si>
  <si>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</si>
  <si>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</si>
  <si>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</si>
  <si>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</si>
  <si>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</si>
  <si>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</si>
  <si>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</si>
  <si>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</si>
  <si>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</si>
  <si>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</si>
  <si>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</si>
  <si>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</si>
  <si>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</si>
  <si>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</si>
  <si>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</si>
  <si>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</si>
  <si>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</si>
  <si>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</si>
  <si>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</si>
  <si>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</si>
  <si>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</si>
  <si>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</si>
  <si>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</si>
  <si>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</si>
  <si>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</si>
  <si>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</si>
  <si>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</si>
  <si>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</si>
  <si>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</si>
  <si>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</si>
  <si>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</si>
  <si>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</si>
  <si>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</si>
  <si>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</si>
  <si>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</si>
  <si>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</si>
  <si>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</si>
  <si>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</si>
  <si>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</si>
  <si>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</si>
  <si>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</si>
  <si>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</si>
  <si>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</si>
  <si>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</si>
  <si>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</si>
  <si>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</si>
  <si>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</si>
  <si>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</si>
  <si>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</si>
  <si>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</si>
  <si>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</si>
  <si>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</si>
  <si>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</si>
  <si>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</si>
  <si>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</si>
  <si>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</si>
  <si>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</si>
  <si>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</si>
  <si>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</si>
  <si>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</si>
  <si>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</si>
  <si>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</si>
  <si>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</si>
  <si>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</si>
  <si>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</si>
  <si>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</si>
  <si>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</si>
  <si>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</si>
  <si>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</si>
  <si>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</si>
  <si>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</si>
  <si>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</si>
  <si>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</si>
  <si>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</si>
  <si>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</si>
  <si>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</si>
  <si>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</si>
  <si>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</si>
  <si>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</si>
  <si>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</si>
  <si>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</si>
  <si>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</si>
  <si>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</si>
  <si>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</si>
  <si>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</si>
  <si>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</si>
  <si>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</si>
  <si>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</si>
  <si>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</si>
  <si>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</si>
  <si>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</si>
  <si>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</si>
  <si>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</si>
  <si>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</si>
  <si>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</si>
  <si>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</si>
  <si>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</si>
  <si>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</si>
  <si>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</si>
  <si>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</si>
  <si>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</si>
  <si>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</si>
  <si>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</si>
  <si>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</si>
  <si>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</si>
  <si>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</si>
  <si>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</si>
  <si>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</si>
  <si>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</si>
  <si>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</si>
  <si>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</si>
  <si>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</si>
  <si>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</si>
  <si>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</si>
  <si>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</si>
  <si>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</si>
  <si>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</si>
  <si>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</si>
  <si>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</si>
  <si>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</si>
  <si>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</si>
  <si>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</si>
  <si>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</si>
  <si>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</si>
  <si>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</si>
  <si>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</si>
  <si>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</si>
  <si>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</si>
  <si>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</si>
  <si>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</si>
  <si>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</si>
  <si>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</si>
  <si>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</si>
  <si>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</si>
  <si>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</si>
  <si>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</si>
  <si>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</si>
  <si>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</si>
  <si>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</si>
  <si>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</si>
  <si>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</si>
  <si>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</si>
  <si>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</si>
  <si>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</si>
  <si>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</si>
  <si>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</si>
  <si>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</si>
  <si>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</si>
  <si>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</si>
  <si>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</si>
  <si>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</si>
  <si>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</si>
  <si>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</si>
  <si>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</si>
  <si>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</si>
  <si>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</si>
  <si>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</si>
  <si>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</si>
  <si>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</si>
  <si>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</si>
  <si>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</si>
  <si>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</si>
  <si>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</si>
  <si>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</si>
  <si>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</si>
  <si>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</si>
  <si>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</si>
  <si>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</si>
  <si>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</si>
  <si>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</si>
  <si>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</si>
  <si>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</si>
  <si>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</si>
  <si>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</si>
  <si>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</si>
  <si>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</si>
  <si>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</si>
  <si>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</si>
  <si>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</si>
  <si>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</si>
  <si>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</si>
  <si>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</si>
  <si>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</si>
  <si>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</si>
  <si>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</si>
  <si>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</si>
  <si>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</si>
  <si>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</si>
  <si>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</si>
  <si>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</si>
  <si>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</si>
  <si>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</si>
  <si>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</si>
  <si>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</si>
  <si>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</si>
  <si>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</si>
  <si>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</si>
  <si>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</si>
  <si>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</si>
  <si>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</si>
  <si>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</si>
  <si>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</si>
  <si>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</si>
  <si>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</si>
  <si>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</si>
  <si>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</si>
  <si>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</si>
  <si>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</si>
  <si>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</si>
  <si>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</si>
  <si>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</si>
  <si>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</si>
  <si>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</si>
  <si>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</si>
  <si>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</si>
  <si>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</si>
  <si>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</si>
  <si>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</si>
  <si>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</si>
  <si>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</si>
  <si>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</si>
  <si>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</si>
  <si>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</si>
  <si>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</si>
  <si>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</si>
  <si>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</si>
  <si>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</si>
  <si>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</si>
  <si>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</si>
  <si>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</si>
  <si>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</si>
  <si>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</si>
  <si>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</si>
  <si>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</si>
  <si>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</si>
  <si>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</si>
  <si>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</si>
  <si>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</si>
  <si>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</si>
  <si>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</si>
  <si>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</si>
  <si>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</si>
  <si>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</si>
  <si>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</si>
  <si>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</si>
  <si>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</si>
  <si>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</si>
  <si>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</si>
  <si>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</si>
  <si>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</si>
  <si>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</si>
  <si>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</si>
  <si>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</si>
  <si>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</si>
  <si>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</si>
  <si>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</si>
  <si>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</si>
  <si>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</si>
  <si>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</si>
  <si>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</si>
  <si>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</si>
  <si>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</si>
  <si>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</si>
  <si>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</si>
  <si>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</si>
  <si>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</si>
  <si>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</si>
  <si>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</si>
  <si>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</si>
  <si>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</si>
  <si>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</si>
  <si>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</si>
  <si>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</si>
  <si>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</si>
  <si>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</si>
  <si>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</si>
  <si>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</si>
  <si>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</si>
  <si>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</si>
  <si>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</si>
  <si>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</si>
  <si>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</si>
  <si>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</si>
  <si>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</si>
  <si>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</si>
  <si>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</si>
  <si>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</si>
  <si>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</si>
  <si>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</si>
  <si>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</si>
  <si>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</si>
  <si>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</si>
  <si>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</si>
  <si>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</si>
  <si>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</si>
  <si>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</si>
  <si>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</si>
  <si>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</si>
  <si>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</si>
  <si>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</si>
  <si>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</si>
  <si>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</si>
  <si>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</si>
  <si>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</si>
  <si>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</si>
  <si>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</si>
  <si>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</si>
  <si>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</si>
  <si>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</si>
  <si>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</si>
  <si>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</si>
  <si>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</si>
  <si>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</si>
  <si>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</si>
  <si>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</si>
  <si>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</si>
  <si>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</si>
  <si>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</si>
  <si>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</si>
  <si>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</si>
  <si>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</si>
  <si>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</si>
  <si>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</si>
  <si>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</si>
  <si>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</si>
  <si>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</si>
  <si>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</si>
  <si>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</si>
  <si>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</si>
  <si>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</si>
  <si>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</si>
  <si>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</si>
  <si>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</si>
  <si>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</si>
  <si>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</si>
  <si>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</si>
  <si>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</si>
  <si>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</si>
  <si>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</si>
  <si>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</si>
  <si>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</si>
  <si>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</si>
  <si>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</si>
  <si>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</si>
  <si>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</si>
  <si>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</si>
  <si>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</si>
  <si>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</si>
  <si>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</si>
  <si>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</si>
  <si>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</si>
  <si>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</si>
  <si>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</si>
  <si>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</si>
  <si>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</si>
  <si>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</si>
  <si>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</si>
  <si>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</si>
  <si>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</si>
  <si>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</si>
  <si>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</si>
  <si>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</si>
  <si>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</si>
  <si>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</si>
  <si>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</si>
  <si>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</si>
  <si>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</si>
  <si>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</si>
  <si>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</si>
  <si>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</si>
  <si>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</si>
  <si>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</si>
  <si>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</si>
  <si>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</si>
  <si>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</si>
  <si>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</si>
  <si>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</si>
  <si>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</si>
  <si>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</si>
  <si>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</si>
  <si>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</si>
  <si>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</si>
  <si>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</si>
  <si>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</si>
  <si>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</si>
  <si>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</si>
  <si>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</si>
  <si>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</si>
  <si>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</si>
  <si>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</si>
  <si>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</si>
  <si>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</si>
  <si>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</si>
  <si>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</si>
  <si>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</si>
  <si>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</si>
  <si>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</si>
  <si>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</si>
  <si>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</si>
  <si>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</si>
  <si>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</si>
  <si>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</si>
  <si>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</si>
  <si>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</si>
  <si>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</si>
  <si>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</si>
  <si>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</si>
  <si>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</si>
  <si>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</si>
  <si>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</si>
  <si>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</si>
  <si>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</si>
  <si>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</si>
  <si>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</si>
  <si>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</si>
  <si>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</si>
  <si>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</si>
  <si>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</si>
  <si>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</si>
  <si>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</si>
  <si>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</si>
  <si>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</si>
  <si>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</si>
  <si>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</si>
  <si>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</si>
  <si>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</si>
  <si>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</si>
  <si>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</si>
  <si>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</si>
  <si>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</si>
  <si>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</si>
  <si>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</si>
  <si>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</si>
  <si>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</si>
  <si>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</si>
  <si>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</si>
  <si>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</si>
  <si>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</si>
  <si>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</si>
  <si>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</si>
  <si>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</si>
  <si>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</si>
  <si>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</si>
  <si>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</si>
  <si>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</si>
  <si>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</si>
  <si>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</si>
  <si>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</si>
  <si>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</si>
  <si>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</si>
  <si>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</si>
  <si>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</si>
  <si>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</si>
  <si>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</si>
  <si>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</si>
  <si>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</si>
  <si>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</si>
  <si>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</si>
  <si>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</si>
  <si>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</si>
  <si>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</si>
  <si>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</si>
  <si>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</si>
  <si>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</si>
  <si>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</si>
  <si>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</si>
  <si>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</si>
  <si>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</si>
  <si>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</si>
  <si>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</si>
  <si>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</si>
  <si>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</si>
  <si>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</si>
  <si>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</si>
  <si>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</si>
  <si>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</si>
  <si>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</si>
  <si>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</si>
  <si>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</si>
  <si>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</si>
  <si>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</si>
  <si>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</si>
  <si>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</si>
  <si>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</si>
  <si>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</si>
  <si>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</si>
  <si>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</si>
  <si>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</si>
  <si>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</si>
  <si>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</si>
  <si>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</si>
  <si>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</si>
  <si>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</si>
  <si>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</si>
  <si>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</si>
  <si>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</si>
  <si>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</si>
  <si>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</si>
  <si>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</si>
  <si>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</si>
  <si>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</si>
  <si>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</si>
  <si>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</si>
  <si>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</si>
  <si>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</si>
  <si>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</si>
  <si>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</si>
  <si>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</si>
  <si>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</si>
  <si>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</si>
  <si>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</si>
  <si>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</si>
  <si>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</si>
  <si>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</si>
  <si>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</si>
  <si>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</si>
  <si>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</si>
  <si>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</si>
  <si>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</si>
  <si>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</si>
  <si>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</si>
  <si>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</si>
  <si>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</si>
  <si>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</si>
  <si>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</si>
  <si>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</si>
  <si>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</si>
  <si>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</si>
  <si>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</si>
  <si>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</si>
  <si>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</si>
  <si>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</si>
  <si>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</si>
  <si>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</si>
  <si>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</si>
  <si>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</si>
  <si>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</si>
  <si>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</si>
  <si>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</si>
  <si>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</si>
  <si>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</si>
  <si>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</si>
  <si>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</si>
  <si>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</si>
  <si>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</si>
  <si>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</si>
  <si>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</si>
  <si>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</si>
  <si>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</si>
  <si>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</si>
  <si>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</si>
  <si>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</si>
  <si>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</si>
  <si>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</si>
  <si>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</si>
  <si>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</si>
  <si>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</si>
  <si>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</si>
  <si>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</si>
  <si>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</si>
  <si>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</si>
  <si>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</si>
  <si>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</si>
  <si>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</si>
  <si>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</si>
  <si>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</si>
  <si>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</si>
  <si>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</si>
  <si>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</si>
  <si>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</si>
  <si>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</si>
  <si>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</si>
  <si>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</si>
  <si>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</si>
  <si>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</si>
  <si>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</si>
  <si>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</si>
  <si>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</si>
  <si>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</si>
  <si>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</si>
  <si>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</si>
  <si>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</si>
  <si>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</si>
  <si>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</si>
  <si>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</si>
  <si>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</si>
  <si>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</si>
  <si>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</si>
  <si>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</si>
  <si>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</si>
  <si>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</si>
  <si>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</si>
  <si>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</si>
  <si>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</si>
  <si>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</si>
  <si>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</si>
  <si>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</si>
  <si>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</si>
  <si>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</si>
  <si>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</si>
  <si>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</si>
  <si>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</si>
  <si>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</si>
  <si>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</si>
  <si>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</si>
  <si>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</si>
  <si>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</si>
  <si>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</si>
  <si>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</si>
  <si>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</si>
  <si>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</si>
  <si>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</si>
  <si>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</si>
  <si>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</si>
  <si>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</si>
  <si>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</si>
  <si>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</si>
  <si>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</si>
  <si>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</si>
  <si>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</si>
  <si>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</si>
  <si>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</si>
  <si>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</si>
  <si>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</si>
  <si>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</si>
  <si>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</si>
  <si>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</si>
  <si>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</si>
  <si>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</si>
  <si>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</si>
  <si>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</si>
  <si>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</si>
  <si>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</si>
  <si>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</si>
  <si>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</si>
  <si>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</si>
  <si>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</si>
  <si>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</si>
  <si>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</si>
  <si>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</si>
  <si>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</si>
  <si>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</si>
  <si>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</si>
  <si>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</si>
  <si>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</si>
  <si>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</si>
  <si>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</si>
  <si>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</si>
  <si>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</si>
  <si>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</si>
  <si>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</si>
  <si>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</si>
  <si>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</si>
  <si>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</si>
  <si>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</si>
  <si>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</si>
  <si>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</si>
  <si>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</si>
  <si>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</si>
  <si>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</si>
  <si>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</si>
  <si>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</si>
  <si>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</si>
  <si>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</si>
  <si>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</si>
  <si>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</si>
  <si>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</si>
  <si>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</si>
  <si>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</si>
  <si>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</si>
  <si>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</si>
  <si>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</si>
  <si>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</si>
  <si>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</si>
  <si>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</si>
  <si>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</si>
  <si>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</si>
  <si>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</si>
  <si>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</si>
  <si>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</si>
  <si>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</si>
  <si>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</si>
  <si>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</si>
  <si>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</si>
  <si>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</si>
  <si>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</si>
  <si>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</si>
  <si>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</si>
  <si>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</si>
  <si>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</si>
  <si>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</si>
  <si>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</si>
  <si>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</si>
  <si>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</si>
  <si>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</si>
  <si>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</si>
  <si>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</si>
  <si>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</si>
  <si>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</si>
  <si>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</si>
  <si>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</si>
  <si>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</si>
  <si>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</si>
  <si>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</si>
  <si>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</si>
  <si>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</si>
  <si>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</si>
  <si>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</si>
  <si>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</si>
  <si>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</si>
  <si>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</si>
  <si>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</si>
  <si>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</si>
  <si>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</si>
  <si>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</si>
  <si>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</si>
  <si>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</si>
  <si>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</si>
  <si>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</si>
  <si>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</si>
  <si>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</si>
  <si>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</si>
  <si>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</si>
  <si>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</si>
  <si>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</si>
  <si>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</si>
  <si>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</si>
  <si>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</si>
  <si>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</si>
  <si>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</si>
  <si>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</si>
  <si>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</si>
  <si>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</si>
  <si>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</si>
  <si>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</si>
  <si>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</si>
  <si>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</si>
  <si>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</si>
  <si>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</si>
  <si>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</si>
  <si>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</si>
  <si>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</si>
  <si>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</si>
  <si>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</si>
  <si>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</si>
  <si>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</si>
  <si>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</si>
  <si>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</si>
  <si>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</si>
  <si>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</si>
  <si>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</si>
  <si>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</si>
  <si>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</si>
  <si>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</si>
  <si>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</si>
  <si>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</si>
  <si>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</si>
  <si>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</si>
  <si>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</si>
  <si>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</si>
  <si>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</si>
  <si>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</si>
  <si>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</si>
  <si>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</si>
  <si>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</si>
  <si>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</si>
  <si>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</si>
  <si>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</si>
  <si>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</si>
  <si>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</si>
  <si>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</si>
  <si>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</si>
  <si>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</si>
  <si>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</si>
  <si>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</si>
  <si>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</si>
  <si>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</si>
  <si>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</si>
  <si>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</si>
  <si>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</si>
  <si>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</si>
  <si>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</si>
  <si>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</si>
  <si>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</si>
  <si>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</si>
  <si>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</si>
  <si>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</si>
  <si>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</si>
  <si>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</si>
  <si>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</si>
  <si>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</si>
  <si>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</si>
  <si>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</si>
  <si>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</si>
  <si>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</si>
  <si>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</si>
  <si>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</si>
  <si>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</si>
  <si>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</si>
  <si>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</si>
  <si>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</si>
  <si>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</si>
  <si>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</si>
  <si>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</si>
  <si>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</si>
  <si>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</si>
  <si>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</si>
  <si>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</si>
  <si>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</si>
  <si>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</si>
  <si>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</si>
  <si>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</si>
  <si>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</si>
  <si>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</si>
  <si>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</si>
  <si>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</si>
  <si>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</si>
  <si>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</si>
  <si>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</si>
  <si>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</si>
  <si>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</si>
  <si>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</si>
  <si>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</si>
  <si>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</si>
  <si>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</si>
  <si>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</si>
  <si>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</si>
  <si>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</si>
  <si>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</si>
  <si>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</si>
  <si>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</si>
  <si>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</si>
  <si>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</si>
  <si>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</si>
  <si>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</si>
  <si>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</si>
  <si>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</si>
  <si>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</si>
  <si>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</si>
  <si>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</si>
  <si>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</si>
  <si>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</si>
  <si>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</si>
  <si>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</si>
  <si>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</si>
  <si>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</si>
  <si>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</si>
  <si>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</si>
  <si>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</si>
  <si>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</si>
  <si>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</si>
  <si>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</si>
  <si>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</si>
  <si>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</si>
  <si>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</si>
  <si>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 xml:space="preserve">Christina Steel, Inc. </t>
  </si>
  <si>
    <t>14 Saratoga Road</t>
  </si>
  <si>
    <t>Glenville, New York  12302</t>
  </si>
  <si>
    <t>14-1821594</t>
  </si>
  <si>
    <t>Christina M. Audi</t>
  </si>
  <si>
    <t>President</t>
  </si>
  <si>
    <t>Structural Iron and Steel Workers</t>
  </si>
  <si>
    <t>First-Line Supervisors of Construction Trades and Extraction Workers</t>
  </si>
  <si>
    <t>Crane and Tower Operators</t>
  </si>
  <si>
    <t>OGS SB818 - NYS Fairgrounds Exposition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</si>
</sst>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6" fillId="0" borderId="22" xfId="0" applyFont="1" applyFill="1" applyBorder="1" applyAlignment="1" applyProtection="1">
      <alignment horizontal="center" vertical="center" wrapText="1"/>
      <protection hidden="1"/>
    </xf>
    <xf numFmtId="0" fontId="16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1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6" borderId="8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4" borderId="4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" fillId="4" borderId="14" xfId="0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390525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495300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80" zoomScaleNormal="80" zoomScalePageLayoutView="96" workbookViewId="0">
      <selection activeCell="C2" sqref="C1:AI2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85546875" style="8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51" t="s">
        <v>322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50" t="s">
        <v>321</v>
      </c>
      <c r="J5" s="150"/>
      <c r="K5" s="150"/>
      <c r="L5" s="150"/>
      <c r="M5" s="150"/>
      <c r="N5" s="150"/>
      <c r="O5" s="150"/>
      <c r="P5" s="150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62"/>
      <c r="F6" s="160"/>
      <c r="G6" s="91"/>
      <c r="H6" s="77"/>
      <c r="I6" s="160"/>
      <c r="J6" s="160"/>
      <c r="K6" s="160"/>
      <c r="L6" s="160"/>
      <c r="M6" s="160"/>
      <c r="N6" s="160"/>
      <c r="O6" s="160"/>
      <c r="P6" s="160"/>
      <c r="Q6" s="127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8"/>
      <c r="N7" s="158"/>
      <c r="O7" s="158"/>
      <c r="P7" s="158"/>
      <c r="Q7" s="127"/>
      <c r="R7" s="77"/>
      <c r="S7" s="92" t="s">
        <v>6</v>
      </c>
      <c r="T7" s="92"/>
      <c r="U7" s="93"/>
      <c r="V7" s="82"/>
      <c r="W7" s="82"/>
      <c r="X7" s="152" t="s">
        <v>1839</v>
      </c>
      <c r="Y7" s="156"/>
      <c r="Z7" s="156"/>
      <c r="AA7" s="156"/>
      <c r="AB7" s="156"/>
      <c r="AC7" s="156"/>
      <c r="AD7" s="156"/>
      <c r="AE7" s="157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9" t="s">
        <v>1835</v>
      </c>
      <c r="E8" s="159"/>
      <c r="F8" s="159"/>
      <c r="G8" s="93"/>
      <c r="H8" s="77"/>
      <c r="I8" s="139"/>
      <c r="J8" s="161"/>
      <c r="K8" s="140"/>
      <c r="L8" s="139"/>
      <c r="M8" s="140"/>
      <c r="N8" s="95"/>
      <c r="O8" s="139"/>
      <c r="P8" s="140"/>
      <c r="Q8" s="127"/>
      <c r="R8" s="77"/>
      <c r="S8" s="92" t="s">
        <v>7</v>
      </c>
      <c r="T8" s="92"/>
      <c r="U8" s="93"/>
      <c r="V8" s="82"/>
      <c r="W8" s="82"/>
      <c r="X8" s="152" t="s">
        <v>1840</v>
      </c>
      <c r="Y8" s="156"/>
      <c r="Z8" s="156"/>
      <c r="AA8" s="156"/>
      <c r="AB8" s="156"/>
      <c r="AC8" s="156"/>
      <c r="AD8" s="156"/>
      <c r="AE8" s="157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9" t="s">
        <v>1836</v>
      </c>
      <c r="E9" s="159"/>
      <c r="F9" s="159"/>
      <c r="G9" s="93"/>
      <c r="H9" s="77"/>
      <c r="I9" s="139"/>
      <c r="J9" s="161"/>
      <c r="K9" s="140"/>
      <c r="L9" s="139"/>
      <c r="M9" s="140"/>
      <c r="N9" s="95"/>
      <c r="O9" s="139"/>
      <c r="P9" s="140"/>
      <c r="Q9" s="127"/>
      <c r="R9" s="77"/>
      <c r="S9" s="92" t="s">
        <v>8</v>
      </c>
      <c r="T9" s="92"/>
      <c r="U9" s="93"/>
      <c r="V9" s="82"/>
      <c r="W9" s="82"/>
      <c r="X9" s="130">
        <v>43258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98" t="s">
        <v>1837</v>
      </c>
      <c r="E10" s="98"/>
      <c r="F10" s="98"/>
      <c r="G10" s="93"/>
      <c r="H10" s="77"/>
      <c r="I10" s="163"/>
      <c r="J10" s="163"/>
      <c r="K10" s="163"/>
      <c r="L10" s="163"/>
      <c r="M10" s="163"/>
      <c r="N10" s="99"/>
      <c r="O10" s="163"/>
      <c r="P10" s="163"/>
      <c r="Q10" s="127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70" t="s">
        <v>1838</v>
      </c>
      <c r="E11" s="171"/>
      <c r="F11" s="172"/>
      <c r="G11" s="93"/>
      <c r="H11" s="77"/>
      <c r="I11" s="163"/>
      <c r="J11" s="163"/>
      <c r="K11" s="163"/>
      <c r="L11" s="163"/>
      <c r="M11" s="163"/>
      <c r="N11" s="99"/>
      <c r="O11" s="163"/>
      <c r="P11" s="163"/>
      <c r="Q11" s="127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0" t="s">
        <v>385</v>
      </c>
      <c r="E12" s="101"/>
      <c r="F12" s="101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7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2" t="s">
        <v>414</v>
      </c>
      <c r="D13" s="152"/>
      <c r="E13" s="153"/>
      <c r="F13" s="154"/>
      <c r="G13" s="103"/>
      <c r="H13" s="77"/>
      <c r="I13" s="165" t="s">
        <v>5</v>
      </c>
      <c r="J13" s="165"/>
      <c r="K13" s="165"/>
      <c r="L13" s="165"/>
      <c r="M13" s="165"/>
      <c r="N13" s="165"/>
      <c r="O13" s="165"/>
      <c r="P13" s="165"/>
      <c r="Q13" s="128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84" t="s">
        <v>1844</v>
      </c>
      <c r="E14" s="184"/>
      <c r="F14" s="184"/>
      <c r="G14" s="93"/>
      <c r="H14" s="77"/>
      <c r="I14" s="163"/>
      <c r="J14" s="163"/>
      <c r="K14" s="163"/>
      <c r="L14" s="163"/>
      <c r="M14" s="163"/>
      <c r="N14" s="163"/>
      <c r="O14" s="163"/>
      <c r="P14" s="163"/>
      <c r="Q14" s="127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63"/>
      <c r="J15" s="163"/>
      <c r="K15" s="163"/>
      <c r="L15" s="163"/>
      <c r="M15" s="163"/>
      <c r="N15" s="163"/>
      <c r="O15" s="163"/>
      <c r="P15" s="163"/>
      <c r="Q15" s="127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4"/>
      <c r="D16" s="105"/>
      <c r="E16" s="105"/>
      <c r="F16" s="105"/>
      <c r="G16" s="105"/>
      <c r="H16" s="105"/>
      <c r="I16" s="106"/>
      <c r="J16" s="106"/>
      <c r="K16" s="106"/>
      <c r="L16" s="106"/>
      <c r="M16" s="106"/>
      <c r="N16" s="106"/>
      <c r="O16" s="106"/>
      <c r="P16" s="106"/>
      <c r="Q16" s="129"/>
      <c r="R16" s="105"/>
      <c r="S16" s="105"/>
      <c r="T16" s="105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9"/>
      <c r="AJ16" s="82"/>
      <c r="AK16" s="82"/>
    </row>
    <row r="17" spans="1:37" ht="19.5" thickBot="1" x14ac:dyDescent="0.3">
      <c r="A17" s="82"/>
      <c r="B17" s="82"/>
      <c r="C17" s="110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6" t="s">
        <v>11</v>
      </c>
      <c r="D18" s="168" t="s">
        <v>9</v>
      </c>
      <c r="E18" s="166" t="s">
        <v>10</v>
      </c>
      <c r="F18" s="144" t="s">
        <v>1825</v>
      </c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  <c r="AH18" s="145"/>
      <c r="AI18" s="146"/>
      <c r="AJ18" s="82"/>
      <c r="AK18" s="82"/>
    </row>
    <row r="19" spans="1:37" ht="46.5" customHeight="1" thickBot="1" x14ac:dyDescent="0.3">
      <c r="A19" s="82"/>
      <c r="B19" s="82"/>
      <c r="C19" s="167"/>
      <c r="D19" s="169"/>
      <c r="E19" s="167"/>
      <c r="F19" s="145" t="s">
        <v>1</v>
      </c>
      <c r="G19" s="145"/>
      <c r="H19" s="145"/>
      <c r="I19" s="145"/>
      <c r="J19" s="145"/>
      <c r="K19" s="146"/>
      <c r="L19" s="144" t="s">
        <v>13</v>
      </c>
      <c r="M19" s="145"/>
      <c r="N19" s="145"/>
      <c r="O19" s="145"/>
      <c r="P19" s="145"/>
      <c r="Q19" s="146"/>
      <c r="R19" s="144" t="s">
        <v>12</v>
      </c>
      <c r="S19" s="145"/>
      <c r="T19" s="145"/>
      <c r="U19" s="145"/>
      <c r="V19" s="145"/>
      <c r="W19" s="146"/>
      <c r="X19" s="147" t="s">
        <v>1826</v>
      </c>
      <c r="Y19" s="148"/>
      <c r="Z19" s="148"/>
      <c r="AA19" s="148"/>
      <c r="AB19" s="148"/>
      <c r="AC19" s="149"/>
      <c r="AD19" s="179" t="s">
        <v>14</v>
      </c>
      <c r="AE19" s="180"/>
      <c r="AF19" s="180"/>
      <c r="AG19" s="180"/>
      <c r="AH19" s="180"/>
      <c r="AI19" s="181"/>
      <c r="AJ19" s="82"/>
      <c r="AK19" s="82"/>
    </row>
    <row r="20" spans="1:37" ht="15.75" thickBot="1" x14ac:dyDescent="0.3">
      <c r="A20" s="82"/>
      <c r="B20" s="82"/>
      <c r="C20" s="167"/>
      <c r="D20" s="169"/>
      <c r="E20" s="167"/>
      <c r="F20" s="142" t="s">
        <v>2</v>
      </c>
      <c r="G20" s="142"/>
      <c r="H20" s="143"/>
      <c r="I20" s="141" t="s">
        <v>3</v>
      </c>
      <c r="J20" s="142"/>
      <c r="K20" s="143"/>
      <c r="L20" s="141" t="s">
        <v>2</v>
      </c>
      <c r="M20" s="142"/>
      <c r="N20" s="143"/>
      <c r="O20" s="141" t="s">
        <v>3</v>
      </c>
      <c r="P20" s="142"/>
      <c r="Q20" s="143"/>
      <c r="R20" s="141" t="s">
        <v>2</v>
      </c>
      <c r="S20" s="142"/>
      <c r="T20" s="143"/>
      <c r="U20" s="141" t="s">
        <v>3</v>
      </c>
      <c r="V20" s="142"/>
      <c r="W20" s="143"/>
      <c r="X20" s="141" t="s">
        <v>2</v>
      </c>
      <c r="Y20" s="142"/>
      <c r="Z20" s="143"/>
      <c r="AA20" s="141" t="s">
        <v>3</v>
      </c>
      <c r="AB20" s="142"/>
      <c r="AC20" s="143"/>
      <c r="AD20" s="141" t="s">
        <v>2</v>
      </c>
      <c r="AE20" s="142"/>
      <c r="AF20" s="143"/>
      <c r="AG20" s="141" t="s">
        <v>3</v>
      </c>
      <c r="AH20" s="142"/>
      <c r="AI20" s="143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1" t="s">
        <v>1827</v>
      </c>
      <c r="G21" s="112" t="s">
        <v>1828</v>
      </c>
      <c r="H21" s="112" t="s">
        <v>1833</v>
      </c>
      <c r="I21" s="112" t="s">
        <v>1827</v>
      </c>
      <c r="J21" s="112" t="s">
        <v>1828</v>
      </c>
      <c r="K21" s="112" t="s">
        <v>1833</v>
      </c>
      <c r="L21" s="112" t="s">
        <v>1827</v>
      </c>
      <c r="M21" s="112" t="s">
        <v>1828</v>
      </c>
      <c r="N21" s="112" t="s">
        <v>1833</v>
      </c>
      <c r="O21" s="112" t="s">
        <v>1827</v>
      </c>
      <c r="P21" s="112" t="s">
        <v>1828</v>
      </c>
      <c r="Q21" s="112" t="s">
        <v>1833</v>
      </c>
      <c r="R21" s="112" t="s">
        <v>1827</v>
      </c>
      <c r="S21" s="112" t="s">
        <v>1828</v>
      </c>
      <c r="T21" s="112" t="s">
        <v>1833</v>
      </c>
      <c r="U21" s="112" t="s">
        <v>1827</v>
      </c>
      <c r="V21" s="112" t="s">
        <v>1828</v>
      </c>
      <c r="W21" s="112" t="s">
        <v>1833</v>
      </c>
      <c r="X21" s="112" t="s">
        <v>1827</v>
      </c>
      <c r="Y21" s="112" t="s">
        <v>1828</v>
      </c>
      <c r="Z21" s="112" t="s">
        <v>1833</v>
      </c>
      <c r="AA21" s="112" t="s">
        <v>1827</v>
      </c>
      <c r="AB21" s="112" t="s">
        <v>1828</v>
      </c>
      <c r="AC21" s="112" t="s">
        <v>1833</v>
      </c>
      <c r="AD21" s="112" t="s">
        <v>1827</v>
      </c>
      <c r="AE21" s="112" t="s">
        <v>1828</v>
      </c>
      <c r="AF21" s="112" t="s">
        <v>1833</v>
      </c>
      <c r="AG21" s="112" t="s">
        <v>1827</v>
      </c>
      <c r="AH21" s="112" t="s">
        <v>1828</v>
      </c>
      <c r="AI21" s="112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1841</v>
      </c>
      <c r="E22" s="45" t="str">
        <f>IF(ISERROR(VLOOKUP(D22,Sheet3!$A$2:$B$821,2,FALSE)),"",(VLOOKUP(D22,Sheet3!$A$2:$B$821,2,FALSE)))</f>
        <v>47-2221</v>
      </c>
      <c r="F22" s="136">
        <v>10</v>
      </c>
      <c r="G22" s="136">
        <v>831</v>
      </c>
      <c r="H22" s="135">
        <v>25465.5</v>
      </c>
      <c r="I22" s="49"/>
      <c r="J22" s="49"/>
      <c r="K22" s="47"/>
      <c r="L22" s="131">
        <v>1</v>
      </c>
      <c r="M22" s="131">
        <v>114</v>
      </c>
      <c r="N22" s="132">
        <v>3451</v>
      </c>
      <c r="O22" s="50"/>
      <c r="P22" s="50"/>
      <c r="Q22" s="66"/>
      <c r="R22" s="137">
        <v>0</v>
      </c>
      <c r="S22" s="137">
        <v>0</v>
      </c>
      <c r="T22" s="138">
        <v>0</v>
      </c>
      <c r="U22" s="51"/>
      <c r="V22" s="51"/>
      <c r="W22" s="68"/>
      <c r="X22" s="52"/>
      <c r="Y22" s="52"/>
      <c r="Z22" s="70"/>
      <c r="AA22" s="52"/>
      <c r="AB22" s="52"/>
      <c r="AC22" s="70"/>
      <c r="AD22" s="134">
        <v>6</v>
      </c>
      <c r="AE22" s="134">
        <v>281</v>
      </c>
      <c r="AF22" s="133">
        <v>7987</v>
      </c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 t="s">
        <v>319</v>
      </c>
      <c r="D23" s="29" t="s">
        <v>1842</v>
      </c>
      <c r="E23" s="45" t="str">
        <f>IF(ISERROR(VLOOKUP(D23,Sheet3!$A$2:$B$821,2,FALSE)),"",(VLOOKUP(D23,Sheet3!$A$2:$B$821,2,FALSE)))</f>
        <v>47-1011</v>
      </c>
      <c r="F23" s="136">
        <v>4</v>
      </c>
      <c r="G23" s="49">
        <v>332</v>
      </c>
      <c r="H23" s="135">
        <v>11329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 t="s">
        <v>319</v>
      </c>
      <c r="D24" s="29" t="s">
        <v>1843</v>
      </c>
      <c r="E24" s="45" t="str">
        <f>IF(ISERROR(VLOOKUP(D24,Sheet3!$A$2:$B$821,2,FALSE)),"",(VLOOKUP(D24,Sheet3!$A$2:$B$821,2,FALSE)))</f>
        <v>53-7021</v>
      </c>
      <c r="F24" s="136">
        <v>4</v>
      </c>
      <c r="G24" s="136">
        <v>217</v>
      </c>
      <c r="H24" s="135">
        <v>8159.64</v>
      </c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55"/>
      <c r="D38" s="155"/>
      <c r="E38" s="155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82"/>
      <c r="T38" s="182"/>
      <c r="U38" s="183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18</v>
      </c>
      <c r="G39" s="48">
        <f>SUM(G22:G37)</f>
        <v>1380</v>
      </c>
      <c r="H39" s="65">
        <f>SUM(H22:H37)</f>
        <v>44954.14</v>
      </c>
      <c r="I39" s="48">
        <f t="shared" ref="I39:AG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1</v>
      </c>
      <c r="M39" s="48">
        <f t="shared" si="0"/>
        <v>114</v>
      </c>
      <c r="N39" s="65">
        <f>SUM(N22:N37)</f>
        <v>3451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6</v>
      </c>
      <c r="AE39" s="48">
        <f t="shared" si="0"/>
        <v>281</v>
      </c>
      <c r="AF39" s="65">
        <f>SUM(AF22:AF37)</f>
        <v>7987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64"/>
      <c r="D42" s="164"/>
      <c r="E42" s="39"/>
      <c r="F42" s="113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73" t="s">
        <v>1829</v>
      </c>
      <c r="D43" s="174"/>
      <c r="E43" s="39"/>
      <c r="F43" s="114"/>
      <c r="G43" s="82"/>
      <c r="H43" s="77"/>
      <c r="I43" s="77"/>
      <c r="J43" s="77"/>
      <c r="K43" s="115"/>
      <c r="L43" s="115"/>
      <c r="M43" s="116"/>
      <c r="N43" s="116"/>
      <c r="O43" s="117"/>
      <c r="P43" s="117"/>
      <c r="Q43" s="117"/>
      <c r="R43" s="118"/>
      <c r="S43" s="119"/>
      <c r="T43" s="118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75"/>
      <c r="D44" s="176"/>
      <c r="E44" s="77"/>
      <c r="F44" s="114"/>
      <c r="G44" s="82"/>
      <c r="H44" s="77"/>
      <c r="I44" s="77"/>
      <c r="J44" s="77"/>
      <c r="K44" s="115"/>
      <c r="L44" s="115"/>
      <c r="M44" s="120"/>
      <c r="N44" s="120"/>
      <c r="O44" s="121"/>
      <c r="P44" s="121"/>
      <c r="Q44" s="121"/>
      <c r="R44" s="118"/>
      <c r="S44" s="119"/>
      <c r="T44" s="118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75"/>
      <c r="D45" s="176"/>
      <c r="E45" s="77"/>
      <c r="F45" s="114"/>
      <c r="G45" s="82"/>
      <c r="H45" s="77"/>
      <c r="I45" s="77"/>
      <c r="J45" s="77"/>
      <c r="K45" s="115"/>
      <c r="L45" s="115"/>
      <c r="M45" s="122"/>
      <c r="N45" s="122"/>
      <c r="O45" s="118"/>
      <c r="P45" s="118"/>
      <c r="Q45" s="118"/>
      <c r="R45" s="118"/>
      <c r="S45" s="119"/>
      <c r="T45" s="118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75"/>
      <c r="D46" s="176"/>
      <c r="F46" s="114"/>
      <c r="H46" s="77"/>
      <c r="I46" s="77"/>
      <c r="J46" s="77"/>
      <c r="K46" s="115"/>
      <c r="L46" s="115"/>
      <c r="M46" s="122"/>
      <c r="N46" s="122"/>
      <c r="O46" s="118"/>
      <c r="P46" s="118"/>
      <c r="Q46" s="118"/>
      <c r="R46" s="118"/>
      <c r="S46" s="119"/>
      <c r="T46" s="118"/>
    </row>
    <row r="47" spans="1:37" s="82" customFormat="1" ht="15.75" thickBot="1" x14ac:dyDescent="0.3">
      <c r="C47" s="177"/>
      <c r="D47" s="178"/>
      <c r="F47" s="114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3"/>
      <c r="G48" s="108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7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5" customFormat="1" x14ac:dyDescent="0.25">
      <c r="A49" s="124"/>
      <c r="B49" s="124"/>
      <c r="C49" s="82"/>
      <c r="D49" s="82"/>
      <c r="E49" s="82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</row>
    <row r="50" spans="1:37" s="125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</row>
    <row r="51" spans="1:37" x14ac:dyDescent="0.25">
      <c r="A51" s="82"/>
      <c r="B51" s="82"/>
      <c r="C51" s="126" t="s">
        <v>1834</v>
      </c>
      <c r="D51" s="124"/>
      <c r="E51" s="124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" right="0" top="0" bottom="0" header="0.05" footer="0.3"/>
  <pageSetup paperSize="5" scale="44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390525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495300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Christina Audi</cp:lastModifiedBy>
  <cp:lastPrinted>2018-06-06T18:13:58Z</cp:lastPrinted>
  <dcterms:created xsi:type="dcterms:W3CDTF">2016-01-07T15:16:02Z</dcterms:created>
  <dcterms:modified xsi:type="dcterms:W3CDTF">2018-06-06T18:32:52Z</dcterms:modified>
</cp:coreProperties>
</file>