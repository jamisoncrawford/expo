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Cloud Shared Company Documents\2014\AJAY-NYS Fairgrounds-EXPO Job #845\Payment\MEUR\"/>
    </mc:Choice>
  </mc:AlternateContent>
  <bookViews>
    <workbookView xWindow="1230" yWindow="1110" windowWidth="26580" windowHeight="1653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<sst xmlns="http://schemas.openxmlformats.org/spreadsheetml/2006/main" count="2107" uniqueCount="1844">
  <si>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</si>
  <si>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</si>
  <si>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</si>
  <si>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</si>
  <si>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</si>
  <si>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</si>
  <si>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</si>
  <si>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</si>
  <si>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</si>
  <si>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</si>
  <si>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</si>
  <si>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</si>
  <si>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</si>
  <si>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</si>
  <si>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</si>
  <si>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</si>
  <si>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</si>
  <si>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</si>
  <si>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</si>
  <si>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</si>
  <si>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</si>
  <si>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</si>
  <si>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</si>
  <si>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</si>
  <si>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</si>
  <si>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</si>
  <si>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</si>
  <si>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</si>
  <si>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</si>
  <si>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</si>
  <si>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</si>
  <si>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</si>
  <si>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</si>
  <si>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</si>
  <si>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</si>
  <si>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</si>
  <si>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</si>
  <si>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</si>
  <si>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</si>
  <si>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</si>
  <si>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</si>
  <si>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</si>
  <si>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</si>
  <si>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</si>
  <si>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</si>
  <si>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</si>
  <si>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</si>
  <si>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</si>
  <si>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</si>
  <si>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</si>
  <si>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</si>
  <si>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</si>
  <si>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</si>
  <si>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</si>
  <si>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</si>
  <si>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</si>
  <si>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</si>
  <si>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</si>
  <si>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</si>
  <si>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</si>
  <si>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</si>
  <si>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</si>
  <si>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</si>
  <si>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</si>
  <si>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</si>
  <si>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</si>
  <si>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</si>
  <si>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</si>
  <si>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</si>
  <si>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</si>
  <si>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</si>
  <si>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</si>
  <si>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</si>
  <si>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</si>
  <si>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</si>
  <si>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</si>
  <si>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</si>
  <si>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</si>
  <si>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</si>
  <si>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</si>
  <si>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</si>
  <si>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</si>
  <si>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</si>
  <si>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</si>
  <si>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</si>
  <si>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</si>
  <si>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</si>
  <si>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</si>
  <si>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</si>
  <si>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</si>
  <si>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</si>
  <si>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</si>
  <si>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</si>
  <si>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</si>
  <si>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</si>
  <si>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</si>
  <si>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</si>
  <si>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</si>
  <si>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</si>
  <si>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</si>
  <si>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</si>
  <si>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</si>
  <si>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</si>
  <si>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</si>
  <si>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</si>
  <si>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</si>
  <si>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</si>
  <si>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</si>
  <si>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</si>
  <si>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</si>
  <si>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</si>
  <si>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</si>
  <si>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</si>
  <si>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</si>
  <si>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</si>
  <si>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</si>
  <si>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</si>
  <si>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</si>
  <si>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</si>
  <si>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</si>
  <si>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</si>
  <si>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</si>
  <si>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</si>
  <si>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</si>
  <si>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</si>
  <si>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</si>
  <si>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</si>
  <si>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</si>
  <si>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</si>
  <si>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</si>
  <si>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</si>
  <si>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</si>
  <si>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</si>
  <si>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</si>
  <si>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</si>
  <si>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</si>
  <si>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</si>
  <si>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</si>
  <si>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</si>
  <si>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</si>
  <si>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</si>
  <si>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</si>
  <si>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</si>
  <si>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</si>
  <si>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</si>
  <si>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</si>
  <si>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</si>
  <si>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</si>
  <si>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</si>
  <si>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</si>
  <si>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</si>
  <si>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</si>
  <si>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</si>
  <si>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</si>
  <si>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</si>
  <si>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</si>
  <si>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</si>
  <si>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</si>
  <si>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</si>
  <si>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</si>
  <si>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</si>
  <si>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</si>
  <si>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</si>
  <si>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</si>
  <si>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</si>
  <si>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</si>
  <si>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</si>
  <si>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</si>
  <si>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</si>
  <si>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</si>
  <si>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</si>
  <si>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</si>
  <si>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</si>
  <si>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</si>
  <si>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</si>
  <si>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</si>
  <si>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</si>
  <si>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</si>
  <si>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</si>
  <si>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</si>
  <si>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</si>
  <si>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</si>
  <si>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</si>
  <si>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</si>
  <si>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</si>
  <si>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</si>
  <si>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</si>
  <si>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</si>
  <si>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</si>
  <si>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</si>
  <si>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</si>
  <si>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</si>
  <si>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</si>
  <si>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</si>
  <si>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</si>
  <si>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</si>
  <si>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</si>
  <si>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</si>
  <si>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</si>
  <si>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</si>
  <si>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</si>
  <si>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</si>
  <si>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</si>
  <si>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</si>
  <si>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</si>
  <si>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</si>
  <si>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</si>
  <si>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</si>
  <si>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</si>
  <si>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</si>
  <si>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</si>
  <si>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</si>
  <si>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</si>
  <si>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</si>
  <si>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</si>
  <si>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</si>
  <si>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</si>
  <si>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</si>
  <si>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</si>
  <si>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</si>
  <si>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</si>
  <si>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</si>
  <si>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</si>
  <si>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</si>
  <si>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</si>
  <si>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</si>
  <si>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</si>
  <si>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</si>
  <si>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</si>
  <si>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</si>
  <si>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</si>
  <si>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</si>
  <si>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</si>
  <si>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</si>
  <si>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</si>
  <si>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</si>
  <si>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</si>
  <si>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</si>
  <si>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</si>
  <si>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</si>
  <si>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</si>
  <si>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</si>
  <si>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</si>
  <si>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</si>
  <si>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</si>
  <si>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</si>
  <si>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</si>
  <si>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</si>
  <si>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</si>
  <si>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</si>
  <si>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</si>
  <si>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</si>
  <si>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</si>
  <si>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</si>
  <si>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</si>
  <si>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</si>
  <si>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</si>
  <si>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</si>
  <si>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</si>
  <si>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</si>
  <si>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</si>
  <si>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</si>
  <si>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</si>
  <si>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</si>
  <si>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</si>
  <si>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</si>
  <si>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</si>
  <si>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</si>
  <si>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</si>
  <si>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</si>
  <si>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</si>
  <si>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</si>
  <si>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</si>
  <si>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</si>
  <si>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</si>
  <si>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</si>
  <si>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</si>
  <si>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</si>
  <si>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</si>
  <si>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</si>
  <si>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</si>
  <si>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</si>
  <si>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</si>
  <si>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</si>
  <si>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</si>
  <si>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</si>
  <si>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</si>
  <si>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</si>
  <si>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</si>
  <si>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</si>
  <si>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</si>
  <si>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</si>
  <si>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</si>
  <si>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</si>
  <si>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</si>
  <si>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</si>
  <si>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</si>
  <si>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</si>
  <si>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</si>
  <si>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</si>
  <si>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</si>
  <si>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</si>
  <si>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</si>
  <si>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</si>
  <si>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</si>
  <si>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</si>
  <si>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</si>
  <si>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</si>
  <si>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</si>
  <si>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</si>
  <si>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</si>
  <si>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</si>
  <si>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</si>
  <si>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</si>
  <si>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</si>
  <si>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</si>
  <si>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</si>
  <si>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</si>
  <si>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</si>
  <si>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</si>
  <si>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</si>
  <si>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</si>
  <si>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</si>
  <si>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</si>
  <si>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</si>
  <si>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</si>
  <si>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</si>
  <si>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</si>
  <si>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</si>
  <si>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</si>
  <si>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</si>
  <si>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</si>
  <si>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</si>
  <si>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</si>
  <si>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</si>
  <si>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</si>
  <si>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</si>
  <si>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</si>
  <si>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</si>
  <si>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</si>
  <si>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</si>
  <si>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</si>
  <si>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</si>
  <si>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</si>
  <si>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</si>
  <si>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</si>
  <si>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</si>
  <si>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</si>
  <si>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</si>
  <si>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</si>
  <si>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</si>
  <si>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</si>
  <si>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</si>
  <si>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</si>
  <si>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</si>
  <si>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</si>
  <si>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</si>
  <si>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</si>
  <si>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</si>
  <si>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</si>
  <si>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</si>
  <si>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</si>
  <si>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</si>
  <si>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</si>
  <si>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</si>
  <si>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</si>
  <si>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</si>
  <si>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</si>
  <si>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</si>
  <si>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</si>
  <si>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</si>
  <si>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</si>
  <si>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</si>
  <si>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</si>
  <si>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</si>
  <si>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</si>
  <si>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</si>
  <si>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</si>
  <si>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</si>
  <si>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</si>
  <si>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</si>
  <si>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</si>
  <si>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</si>
  <si>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</si>
  <si>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</si>
  <si>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</si>
  <si>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</si>
  <si>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</si>
  <si>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</si>
  <si>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</si>
  <si>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</si>
  <si>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</si>
  <si>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</si>
  <si>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</si>
  <si>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</si>
  <si>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</si>
  <si>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</si>
  <si>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</si>
  <si>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</si>
  <si>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</si>
  <si>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</si>
  <si>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</si>
  <si>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</si>
  <si>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</si>
  <si>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</si>
  <si>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</si>
  <si>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</si>
  <si>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</si>
  <si>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</si>
  <si>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</si>
  <si>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</si>
  <si>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</si>
  <si>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</si>
  <si>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</si>
  <si>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</si>
  <si>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</si>
  <si>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</si>
  <si>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</si>
  <si>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</si>
  <si>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</si>
  <si>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</si>
  <si>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</si>
  <si>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</si>
  <si>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</si>
  <si>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</si>
  <si>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</si>
  <si>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</si>
  <si>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</si>
  <si>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</si>
  <si>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</si>
  <si>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</si>
  <si>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</si>
  <si>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</si>
  <si>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</si>
  <si>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</si>
  <si>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</si>
  <si>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</si>
  <si>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</si>
  <si>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</si>
  <si>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</si>
  <si>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</si>
  <si>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</si>
  <si>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</si>
  <si>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</si>
  <si>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</si>
  <si>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</si>
  <si>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</si>
  <si>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</si>
  <si>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</si>
  <si>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</si>
  <si>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</si>
  <si>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</si>
  <si>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</si>
  <si>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</si>
  <si>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</si>
  <si>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</si>
  <si>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</si>
  <si>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</si>
  <si>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</si>
  <si>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</si>
  <si>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</si>
  <si>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</si>
  <si>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</si>
  <si>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</si>
  <si>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</si>
  <si>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</si>
  <si>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</si>
  <si>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</si>
  <si>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</si>
  <si>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</si>
  <si>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</si>
  <si>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</si>
  <si>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</si>
  <si>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</si>
  <si>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</si>
  <si>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</si>
  <si>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</si>
  <si>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</si>
  <si>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</si>
  <si>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</si>
  <si>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</si>
  <si>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</si>
  <si>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</si>
  <si>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</si>
  <si>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</si>
  <si>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</si>
  <si>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</si>
  <si>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</si>
  <si>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</si>
  <si>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</si>
  <si>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</si>
  <si>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</si>
  <si>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</si>
  <si>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</si>
  <si>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</si>
  <si>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</si>
  <si>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</si>
  <si>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</si>
  <si>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</si>
  <si>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</si>
  <si>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</si>
  <si>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</si>
  <si>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</si>
  <si>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</si>
  <si>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</si>
  <si>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</si>
  <si>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</si>
  <si>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</si>
  <si>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</si>
  <si>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</si>
  <si>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</si>
  <si>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</si>
  <si>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</si>
  <si>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</si>
  <si>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</si>
  <si>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</si>
  <si>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</si>
  <si>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</si>
  <si>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</si>
  <si>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</si>
  <si>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</si>
  <si>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</si>
  <si>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</si>
  <si>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</si>
  <si>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</si>
  <si>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</si>
  <si>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</si>
  <si>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</si>
  <si>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</si>
  <si>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</si>
  <si>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</si>
  <si>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</si>
  <si>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</si>
  <si>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</si>
  <si>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</si>
  <si>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</si>
  <si>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</si>
  <si>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</si>
  <si>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</si>
  <si>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</si>
  <si>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</si>
  <si>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</si>
  <si>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</si>
  <si>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</si>
  <si>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</si>
  <si>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</si>
  <si>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</si>
  <si>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</si>
  <si>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</si>
  <si>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</si>
  <si>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</si>
  <si>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</si>
  <si>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</si>
  <si>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</si>
  <si>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</si>
  <si>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</si>
  <si>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</si>
  <si>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</si>
  <si>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</si>
  <si>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</si>
  <si>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</si>
  <si>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</si>
  <si>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</si>
  <si>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</si>
  <si>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</si>
  <si>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</si>
  <si>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</si>
  <si>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</si>
  <si>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</si>
  <si>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</si>
  <si>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</si>
  <si>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</si>
  <si>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</si>
  <si>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</si>
  <si>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</si>
  <si>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</si>
  <si>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</si>
  <si>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</si>
  <si>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</si>
  <si>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</si>
  <si>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</si>
  <si>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</si>
  <si>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</si>
  <si>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</si>
  <si>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</si>
  <si>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</si>
  <si>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</si>
  <si>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</si>
  <si>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</si>
  <si>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</si>
  <si>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</si>
  <si>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</si>
  <si>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</si>
  <si>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</si>
  <si>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</si>
  <si>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</si>
  <si>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</si>
  <si>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</si>
  <si>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</si>
  <si>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</si>
  <si>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</si>
  <si>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</si>
  <si>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</si>
  <si>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</si>
  <si>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</si>
  <si>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</si>
  <si>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</si>
  <si>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</si>
  <si>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</si>
  <si>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</si>
  <si>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</si>
  <si>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</si>
  <si>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</si>
  <si>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</si>
  <si>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</si>
  <si>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</si>
  <si>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</si>
  <si>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</si>
  <si>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</si>
  <si>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</si>
  <si>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</si>
  <si>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</si>
  <si>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</si>
  <si>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</si>
  <si>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</si>
  <si>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</si>
  <si>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</si>
  <si>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</si>
  <si>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</si>
  <si>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</si>
  <si>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</si>
  <si>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</si>
  <si>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</si>
  <si>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</si>
  <si>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</si>
  <si>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</si>
  <si>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</si>
  <si>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</si>
  <si>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</si>
  <si>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</si>
  <si>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</si>
  <si>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</si>
  <si>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</si>
  <si>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</si>
  <si>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</si>
  <si>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</si>
  <si>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</si>
  <si>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</si>
  <si>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</si>
  <si>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</si>
  <si>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</si>
  <si>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</si>
  <si>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</si>
  <si>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</si>
  <si>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</si>
  <si>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</si>
  <si>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</si>
  <si>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</si>
  <si>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</si>
  <si>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</si>
  <si>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</si>
  <si>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</si>
  <si>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</si>
  <si>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</si>
  <si>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</si>
  <si>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</si>
  <si>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</si>
  <si>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</si>
  <si>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</si>
  <si>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</si>
  <si>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</si>
  <si>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</si>
  <si>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</si>
  <si>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</si>
  <si>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</si>
  <si>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</si>
  <si>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</si>
  <si>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</si>
  <si>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</si>
  <si>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</si>
  <si>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</si>
  <si>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</si>
  <si>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</si>
  <si>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</si>
  <si>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</si>
  <si>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</si>
  <si>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</si>
  <si>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</si>
  <si>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</si>
  <si>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</si>
  <si>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</si>
  <si>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</si>
  <si>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</si>
  <si>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</si>
  <si>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</si>
  <si>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</si>
  <si>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</si>
  <si>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</si>
  <si>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</si>
  <si>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</si>
  <si>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</si>
  <si>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</si>
  <si>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</si>
  <si>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</si>
  <si>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</si>
  <si>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</si>
  <si>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</si>
  <si>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</si>
  <si>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</si>
  <si>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</si>
  <si>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</si>
  <si>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</si>
  <si>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</si>
  <si>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</si>
  <si>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</si>
  <si>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</si>
  <si>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</si>
  <si>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</si>
  <si>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</si>
  <si>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</si>
  <si>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</si>
  <si>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</si>
  <si>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</si>
  <si>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</si>
  <si>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</si>
  <si>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</si>
  <si>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</si>
  <si>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</si>
  <si>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</si>
  <si>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</si>
  <si>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</si>
  <si>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</si>
  <si>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</si>
  <si>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</si>
  <si>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</si>
  <si>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</si>
  <si>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</si>
  <si>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</si>
  <si>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</si>
  <si>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</si>
  <si>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</si>
  <si>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</si>
  <si>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</si>
  <si>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</si>
  <si>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</si>
  <si>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</si>
  <si>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</si>
  <si>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</si>
  <si>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</si>
  <si>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</si>
  <si>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</si>
  <si>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</si>
  <si>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</si>
  <si>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</si>
  <si>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</si>
  <si>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</si>
  <si>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</si>
  <si>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</si>
  <si>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</si>
  <si>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</si>
  <si>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</si>
  <si>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</si>
  <si>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</si>
  <si>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</si>
  <si>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</si>
  <si>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</si>
  <si>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</si>
  <si>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</si>
  <si>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</si>
  <si>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</si>
  <si>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</si>
  <si>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</si>
  <si>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</si>
  <si>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</si>
  <si>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</si>
  <si>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</si>
  <si>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</si>
  <si>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</si>
  <si>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</si>
  <si>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</si>
  <si>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</si>
  <si>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</si>
  <si>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</si>
  <si>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</si>
  <si>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</si>
  <si>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</si>
  <si>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</si>
  <si>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</si>
  <si>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</si>
  <si>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</si>
  <si>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</si>
  <si>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</si>
  <si>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</si>
  <si>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</si>
  <si>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</si>
  <si>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</si>
  <si>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</si>
  <si>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</si>
  <si>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</si>
  <si>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</si>
  <si>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</si>
  <si>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</si>
  <si>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</si>
  <si>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</si>
  <si>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</si>
  <si>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</si>
  <si>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</si>
  <si>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</si>
  <si>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</si>
  <si>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</si>
  <si>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</si>
  <si>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</si>
  <si>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</si>
  <si>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</si>
  <si>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</si>
  <si>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</si>
  <si>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</si>
  <si>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</si>
  <si>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</si>
  <si>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</si>
  <si>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</si>
  <si>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</si>
  <si>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</si>
  <si>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</si>
  <si>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</si>
  <si>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</si>
  <si>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</si>
  <si>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</si>
  <si>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</si>
  <si>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</si>
  <si>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</si>
  <si>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</si>
  <si>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</si>
  <si>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</si>
  <si>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</si>
  <si>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</si>
  <si>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</si>
  <si>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</si>
  <si>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</si>
  <si>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</si>
  <si>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</si>
  <si>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</si>
  <si>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</si>
  <si>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</si>
  <si>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</si>
  <si>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</si>
  <si>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</si>
  <si>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</si>
  <si>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</si>
  <si>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</si>
  <si>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</si>
  <si>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</si>
  <si>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</si>
  <si>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</si>
  <si>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</si>
  <si>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</si>
  <si>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</si>
  <si>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</si>
  <si>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</si>
  <si>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</si>
  <si>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</si>
  <si>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</si>
  <si>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</si>
  <si>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</si>
  <si>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</si>
  <si>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</si>
  <si>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</si>
  <si>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</si>
  <si>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</si>
  <si>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</si>
  <si>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</si>
  <si>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</si>
  <si>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</si>
  <si>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</si>
  <si>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</si>
  <si>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</si>
  <si>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</si>
  <si>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</si>
  <si>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</si>
  <si>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</si>
  <si>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</si>
  <si>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</si>
  <si>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</si>
  <si>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</si>
  <si>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</si>
  <si>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</si>
  <si>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</si>
  <si>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</si>
  <si>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</si>
  <si>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</si>
  <si>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</si>
  <si>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</si>
  <si>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</si>
  <si>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</si>
  <si>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</si>
  <si>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</si>
  <si>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</si>
  <si>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</si>
  <si>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</si>
  <si>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</si>
  <si>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</si>
  <si>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</si>
  <si>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</si>
  <si>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</si>
  <si>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</si>
  <si>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</si>
  <si>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</si>
  <si>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</si>
  <si>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</si>
  <si>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</si>
  <si>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</si>
  <si>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</si>
  <si>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</si>
  <si>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</si>
  <si>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</si>
  <si>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</si>
  <si>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</si>
  <si>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</si>
  <si>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</si>
  <si>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</si>
  <si>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</si>
  <si>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</si>
  <si>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</si>
  <si>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</si>
  <si>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</si>
  <si>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</si>
  <si>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</si>
  <si>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</si>
  <si>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</si>
  <si>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</si>
  <si>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</si>
  <si>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</si>
  <si>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</si>
  <si>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</si>
  <si>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</si>
  <si>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</si>
  <si>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</si>
  <si>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</si>
  <si>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</si>
  <si>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</si>
  <si>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</si>
  <si>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</si>
  <si>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</si>
  <si>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</si>
  <si>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</si>
  <si>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</si>
  <si>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</si>
  <si>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</si>
  <si>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</si>
  <si>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</si>
  <si>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</si>
  <si>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</si>
  <si>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</si>
  <si>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</si>
  <si>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</si>
  <si>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</si>
  <si>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</si>
  <si>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</si>
  <si>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</si>
  <si>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</si>
  <si>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</si>
  <si>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</si>
  <si>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</si>
  <si>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</si>
  <si>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</si>
  <si>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</si>
  <si>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</si>
  <si>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</si>
  <si>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</si>
  <si>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</si>
  <si>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</si>
  <si>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</si>
  <si>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</si>
  <si>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</si>
  <si>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</si>
  <si>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</si>
  <si>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</si>
  <si>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</si>
  <si>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</si>
  <si>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</si>
  <si>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</si>
  <si>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</si>
  <si>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</si>
  <si>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</si>
  <si>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</si>
  <si>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</si>
  <si>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</si>
  <si>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</si>
  <si>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</si>
  <si>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</si>
  <si>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</si>
  <si>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</si>
  <si>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</si>
  <si>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</si>
  <si>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</si>
  <si>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</si>
  <si>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</si>
  <si>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</si>
  <si>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</si>
  <si>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</si>
  <si>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</si>
  <si>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</si>
  <si>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</si>
  <si>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</si>
  <si>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</si>
  <si>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</si>
  <si>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</si>
  <si>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</si>
  <si>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</si>
  <si>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</si>
  <si>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</si>
  <si>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</si>
  <si>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</si>
  <si>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</si>
  <si>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</si>
  <si>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</si>
  <si>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</si>
  <si>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</si>
  <si>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</si>
  <si>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</si>
  <si>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</si>
  <si>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</si>
  <si>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</si>
  <si>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</si>
  <si>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</si>
  <si>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</si>
  <si>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</si>
  <si>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</si>
  <si>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</si>
  <si>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</si>
  <si>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</si>
  <si>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</si>
  <si>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</si>
  <si>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</si>
  <si>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</si>
  <si>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</si>
  <si>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</si>
  <si>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</si>
  <si>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</si>
  <si>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</si>
  <si>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</si>
  <si>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</si>
  <si>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</si>
  <si>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</si>
  <si>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</si>
  <si>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</si>
  <si>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</si>
  <si>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</si>
  <si>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</si>
  <si>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</si>
  <si>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</si>
  <si>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</si>
  <si>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</si>
  <si>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</si>
  <si>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</si>
  <si>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</si>
  <si>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</si>
  <si>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</si>
  <si>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</si>
  <si>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</si>
  <si>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</si>
  <si>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</si>
  <si>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</si>
  <si>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</si>
  <si>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</si>
  <si>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</si>
  <si>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</si>
  <si>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</si>
  <si>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</si>
  <si>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</si>
  <si>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</si>
  <si>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</si>
  <si>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</si>
  <si>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</si>
  <si>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</si>
  <si>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</si>
  <si>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</si>
  <si>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</si>
  <si>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</si>
  <si>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</si>
  <si>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</si>
  <si>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</si>
  <si>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</si>
  <si>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</si>
  <si>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</si>
  <si>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</si>
  <si>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</si>
  <si>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</si>
  <si>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</si>
  <si>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</si>
  <si>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</si>
  <si>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</si>
  <si>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</si>
  <si>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</si>
  <si>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</si>
  <si>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</si>
  <si>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</si>
  <si>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</si>
  <si>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</si>
  <si>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</si>
  <si>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</si>
  <si>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</si>
  <si>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</si>
  <si>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</si>
  <si>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</si>
  <si>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</si>
  <si>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</si>
  <si>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</si>
  <si>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</si>
  <si>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</si>
  <si>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</si>
  <si>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</si>
  <si>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</si>
  <si>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</si>
  <si>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</si>
  <si>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</si>
  <si>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</si>
  <si>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</si>
  <si>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</si>
  <si>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</si>
  <si>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</si>
  <si>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</si>
  <si>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</si>
  <si>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</si>
  <si>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</si>
  <si>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</si>
  <si>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</si>
  <si>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</si>
  <si>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</si>
  <si>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</si>
  <si>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</si>
  <si>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</si>
  <si>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</si>
  <si>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</si>
  <si>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</si>
  <si>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</si>
  <si>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</si>
  <si>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</si>
  <si>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</si>
  <si>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</si>
  <si>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</si>
  <si>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</si>
  <si>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</si>
  <si>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</si>
  <si>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</si>
  <si>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</si>
  <si>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</si>
  <si>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</si>
  <si>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</si>
  <si>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</si>
  <si>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</si>
  <si>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</si>
  <si>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</si>
  <si>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</si>
  <si>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</si>
  <si>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</si>
  <si>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</si>
  <si>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</si>
  <si>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</si>
  <si>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</si>
  <si>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</si>
  <si>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</si>
  <si>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</si>
  <si>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</si>
  <si>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</si>
  <si>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</si>
  <si>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</si>
  <si>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</si>
  <si>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</si>
  <si>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</si>
  <si>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</si>
  <si>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</si>
  <si>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</si>
  <si>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</si>
  <si>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</si>
  <si>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</si>
  <si>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</si>
  <si>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</si>
  <si>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</si>
  <si>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</si>
  <si>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</si>
  <si>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</si>
  <si>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</si>
  <si>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</si>
  <si>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</si>
  <si>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</si>
  <si>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</si>
  <si>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</si>
  <si>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</si>
  <si>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</si>
  <si>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</si>
  <si>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</si>
  <si>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</si>
  <si>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</si>
  <si>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</si>
  <si>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</si>
  <si>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</si>
  <si>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</si>
  <si>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</si>
  <si>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</si>
  <si>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</si>
  <si>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</si>
  <si>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</si>
  <si>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</si>
  <si>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</si>
  <si>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</si>
  <si>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</si>
  <si>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</si>
  <si>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</si>
  <si>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</si>
  <si>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</si>
  <si>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</si>
  <si>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</si>
  <si>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</si>
  <si>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</si>
  <si>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</si>
  <si>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</si>
  <si>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</si>
  <si>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</si>
  <si>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</si>
  <si>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</si>
  <si>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</si>
  <si>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</si>
  <si>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</si>
  <si>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</si>
  <si>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</si>
  <si>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</si>
  <si>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</si>
  <si>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</si>
  <si>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</si>
  <si>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</si>
  <si>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</si>
  <si>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</si>
  <si>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</si>
  <si>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</si>
  <si>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</si>
  <si>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</si>
  <si>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</si>
  <si>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</si>
  <si>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</si>
  <si>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</si>
  <si>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</si>
  <si>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</si>
  <si>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</si>
  <si>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</si>
  <si>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</si>
  <si>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</si>
  <si>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</si>
  <si>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</si>
  <si>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</si>
  <si>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</si>
  <si>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</si>
  <si>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</si>
  <si>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</si>
  <si>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</si>
  <si>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</si>
  <si>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</si>
  <si>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</si>
  <si>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</si>
  <si>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</si>
  <si>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</si>
  <si>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</si>
  <si>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</si>
  <si>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</si>
  <si>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</si>
  <si>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</si>
  <si>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</si>
  <si>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</si>
  <si>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</si>
  <si>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</si>
  <si>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</si>
  <si>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</si>
  <si>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</si>
  <si>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</si>
  <si>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</si>
  <si>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</si>
  <si>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</si>
  <si>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</si>
  <si>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</si>
  <si>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</si>
  <si>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</si>
  <si>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</si>
  <si>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</si>
  <si>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</si>
  <si>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</si>
  <si>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</si>
  <si>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</si>
  <si>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</si>
  <si>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</si>
  <si>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</si>
  <si>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</si>
  <si>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</si>
  <si>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</si>
  <si>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</si>
  <si>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</si>
  <si>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</si>
  <si>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</si>
  <si>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</si>
  <si>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</si>
  <si>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</si>
  <si>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</si>
  <si>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</si>
  <si>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</si>
  <si>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</si>
  <si>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</si>
  <si>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</si>
  <si>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</si>
  <si>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</si>
  <si>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</si>
  <si>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</si>
  <si>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</si>
  <si>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</si>
  <si>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</si>
  <si>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</si>
  <si>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</si>
  <si>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</si>
  <si>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</si>
  <si>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</si>
  <si>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</si>
  <si>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</si>
  <si>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</si>
  <si>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</si>
  <si>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</si>
  <si>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</si>
  <si>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</si>
  <si>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</si>
  <si>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</si>
  <si>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</si>
  <si>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</si>
  <si>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</si>
  <si>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</si>
  <si>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</si>
  <si>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</si>
  <si>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</si>
  <si>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</si>
  <si>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</si>
  <si>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</si>
  <si>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</si>
  <si>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</si>
  <si>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</si>
  <si>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</si>
  <si>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</si>
  <si>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</si>
  <si>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</si>
  <si>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</si>
  <si>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</si>
  <si>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</si>
  <si>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</si>
  <si>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</si>
  <si>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</si>
  <si>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</si>
  <si>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</si>
  <si>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</si>
  <si>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</si>
  <si>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</si>
  <si>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</si>
  <si>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</si>
  <si>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</si>
  <si>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</si>
  <si>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</si>
  <si>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</si>
  <si>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</si>
  <si>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</si>
  <si>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</si>
  <si>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</si>
  <si>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</si>
  <si>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</si>
  <si>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</si>
  <si>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</si>
  <si>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</si>
  <si>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</si>
  <si>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</si>
  <si>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</si>
  <si>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</si>
  <si>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</si>
  <si>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</si>
  <si>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</si>
  <si>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</si>
  <si>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</si>
  <si>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</si>
  <si>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</si>
  <si>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</si>
  <si>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</si>
  <si>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</si>
  <si>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</si>
  <si>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</si>
  <si>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</si>
  <si>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</si>
  <si>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</si>
  <si>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</si>
  <si>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</si>
  <si>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</si>
  <si>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</si>
  <si>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</si>
  <si>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</si>
  <si>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</si>
  <si>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</si>
  <si>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</si>
  <si>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</si>
  <si>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</si>
  <si>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</si>
  <si>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</si>
  <si>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</si>
  <si>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</si>
  <si>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</si>
  <si>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</si>
  <si>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</si>
  <si>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</si>
  <si>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</si>
  <si>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</si>
  <si>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</si>
  <si>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</si>
  <si>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</si>
  <si>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</si>
  <si>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</si>
  <si>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</si>
  <si>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</si>
  <si>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</si>
  <si>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</si>
  <si>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</si>
  <si>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</si>
  <si>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</si>
  <si>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</si>
  <si>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</si>
  <si>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</si>
  <si>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</si>
  <si>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</si>
  <si>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</si>
  <si>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</si>
  <si>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</si>
  <si>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</si>
  <si>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</si>
  <si>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</si>
  <si>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</si>
  <si>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</si>
  <si>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</si>
  <si>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</si>
  <si>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</si>
  <si>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</si>
  <si>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</si>
  <si>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</si>
  <si>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</si>
  <si>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</si>
  <si>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</si>
  <si>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</si>
  <si>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</si>
  <si>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</si>
  <si>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</si>
  <si>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</si>
  <si>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</si>
  <si>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</si>
  <si>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</si>
  <si>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</si>
  <si>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</si>
  <si>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</si>
  <si>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</si>
  <si>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</si>
  <si>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</si>
  <si>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</si>
  <si>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</si>
  <si>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</si>
  <si>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</si>
  <si>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</si>
  <si>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</si>
  <si>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</si>
  <si>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</si>
  <si>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</si>
  <si>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</si>
  <si>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</si>
  <si>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</si>
  <si>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</si>
  <si>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</si>
  <si>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</si>
  <si>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</si>
  <si>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</si>
  <si>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</si>
  <si>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</si>
  <si>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</si>
  <si>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</si>
  <si>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</si>
  <si>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</si>
  <si>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</si>
  <si>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</si>
  <si>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</si>
  <si>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</si>
  <si>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</si>
  <si>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</si>
  <si>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</si>
  <si>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</si>
  <si>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</si>
  <si>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</si>
  <si>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</si>
  <si>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</si>
  <si>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</si>
  <si>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</si>
  <si>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</si>
  <si>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</si>
  <si>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</si>
  <si>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</si>
  <si>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</si>
  <si>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</si>
  <si>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</si>
  <si>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</si>
  <si>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</si>
  <si>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</si>
  <si>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</si>
  <si>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</si>
  <si>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</si>
  <si>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</si>
  <si>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</si>
  <si>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</si>
  <si>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</si>
  <si>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</si>
  <si>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</si>
  <si>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</si>
  <si>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</si>
  <si>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</si>
  <si>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</si>
  <si>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</si>
  <si>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</si>
  <si>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</si>
  <si>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</si>
  <si>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</si>
  <si>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</si>
  <si>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</si>
  <si>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</si>
  <si>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</si>
  <si>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</si>
  <si>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</si>
  <si>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</si>
  <si>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</si>
  <si>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</si>
  <si>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</si>
  <si>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</si>
  <si>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</si>
  <si>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</si>
  <si>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</si>
  <si>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</si>
  <si>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</si>
  <si>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</si>
  <si>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</si>
  <si>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</si>
  <si>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</si>
  <si>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</si>
  <si>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</si>
  <si>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</si>
  <si>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</si>
  <si>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</si>
  <si>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</si>
  <si>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</si>
  <si>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</si>
  <si>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</si>
  <si>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</si>
  <si>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</si>
  <si>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</si>
  <si>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</si>
  <si>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</si>
  <si>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</si>
  <si>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</si>
  <si>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</si>
  <si>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</si>
  <si>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</si>
  <si>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</si>
  <si>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</si>
  <si>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</si>
  <si>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</si>
  <si>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</si>
  <si>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</si>
  <si>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</si>
  <si>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</si>
  <si>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</si>
  <si>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</si>
  <si>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</si>
  <si>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</si>
  <si>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</si>
  <si>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</si>
  <si>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</si>
  <si>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</si>
  <si>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</si>
  <si>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</si>
  <si>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</si>
  <si>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</si>
  <si>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</si>
  <si>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</si>
  <si>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</si>
  <si>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</si>
  <si>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</si>
  <si>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</si>
  <si>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</si>
  <si>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</si>
  <si>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</si>
  <si>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</si>
  <si>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</si>
  <si>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</si>
  <si>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</si>
  <si>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</si>
  <si>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</si>
  <si>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</si>
  <si>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</si>
  <si>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</si>
  <si>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</si>
  <si>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</si>
  <si>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</si>
  <si>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</si>
  <si>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</si>
  <si>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</si>
  <si>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</si>
  <si>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</si>
  <si>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</si>
  <si>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</si>
  <si>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</si>
  <si>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</si>
  <si>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</si>
  <si>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</si>
  <si>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</si>
  <si>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</si>
  <si>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</si>
  <si>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</si>
  <si>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</si>
  <si>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</si>
  <si>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</si>
  <si>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</si>
  <si>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</si>
  <si>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</si>
  <si>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</si>
  <si>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</si>
  <si>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</si>
  <si>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</si>
  <si>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</si>
  <si>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</si>
  <si>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</si>
  <si>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</si>
  <si>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</si>
  <si>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</si>
  <si>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</si>
  <si>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</si>
  <si>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</si>
  <si>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</si>
  <si>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</si>
  <si>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</si>
  <si>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</si>
  <si>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</si>
  <si>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</si>
  <si>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</si>
  <si>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</si>
  <si>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</si>
  <si>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</si>
  <si>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</si>
  <si>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</si>
  <si>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</si>
  <si>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</si>
  <si>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</si>
  <si>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</si>
  <si>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</si>
  <si>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</si>
  <si>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</si>
  <si>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</si>
  <si>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</si>
  <si>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</si>
  <si>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</si>
  <si>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</si>
  <si>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</si>
  <si>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</si>
  <si>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</si>
  <si>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</si>
  <si>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</si>
  <si>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</si>
  <si>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</si>
  <si>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</si>
  <si>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</si>
  <si>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</si>
  <si>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</si>
  <si>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</si>
  <si>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</si>
  <si>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</si>
  <si>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</si>
  <si>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</si>
  <si>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</si>
  <si>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</si>
  <si>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</si>
  <si>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</si>
  <si>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</si>
  <si>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</si>
  <si>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</si>
  <si>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</si>
  <si>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</si>
  <si>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</si>
  <si>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</si>
  <si>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</si>
  <si>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</si>
  <si>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</si>
  <si>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</si>
  <si>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</si>
  <si>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</si>
  <si>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</si>
  <si>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</si>
  <si>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</si>
  <si>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</si>
  <si>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</si>
  <si>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</si>
  <si>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</si>
  <si>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</si>
  <si>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</si>
  <si>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</si>
  <si>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</si>
  <si>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</si>
  <si>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</si>
  <si>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</si>
  <si>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</si>
  <si>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</si>
  <si>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</si>
  <si>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</si>
  <si>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</si>
  <si>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</si>
  <si>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</si>
  <si>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</si>
  <si>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</si>
  <si>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</si>
  <si>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</si>
  <si>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</si>
  <si>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</si>
  <si>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</si>
  <si>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</si>
  <si>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</si>
  <si>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</si>
  <si>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</si>
  <si>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</si>
  <si>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</si>
  <si>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</si>
  <si>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</si>
  <si>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</si>
  <si>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</si>
  <si>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</si>
  <si>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</si>
  <si>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</si>
  <si>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</si>
  <si>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</si>
  <si>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</si>
  <si>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</si>
  <si>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</si>
  <si>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</si>
  <si>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</si>
  <si>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</si>
  <si>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</si>
  <si>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</si>
  <si>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</si>
  <si>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</si>
  <si>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</si>
  <si>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</si>
  <si>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</si>
  <si>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</si>
  <si>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</si>
  <si>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</si>
  <si>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</si>
  <si>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</si>
  <si>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</si>
  <si>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</si>
  <si>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</si>
  <si>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</si>
  <si>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</si>
  <si>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</si>
  <si>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</si>
  <si>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</si>
  <si>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</si>
  <si>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</si>
  <si>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</si>
  <si>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</si>
  <si>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</si>
  <si>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</si>
  <si>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</si>
  <si>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</si>
  <si>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</si>
  <si>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</si>
  <si>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</si>
  <si>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</si>
  <si>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</si>
  <si>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</si>
  <si>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</si>
  <si>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</si>
  <si>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</si>
  <si>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</si>
  <si>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</si>
  <si>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</si>
  <si>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</si>
  <si>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</si>
  <si>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</si>
  <si>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</si>
  <si>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</si>
  <si>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</si>
  <si>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</si>
  <si>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</si>
  <si>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</si>
  <si>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</si>
  <si>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</si>
  <si>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</si>
  <si>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</si>
  <si>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</si>
  <si>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</si>
  <si>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</si>
  <si>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</si>
  <si>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</si>
  <si>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</si>
  <si>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</si>
  <si>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</si>
  <si>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</si>
  <si>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</si>
  <si>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</si>
  <si>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</si>
  <si>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</si>
  <si>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</si>
  <si>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</si>
  <si>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</si>
  <si>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</si>
  <si>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</si>
  <si>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</si>
  <si>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</si>
  <si>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</si>
  <si>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</si>
  <si>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</si>
  <si>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</si>
  <si>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</si>
  <si>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</si>
  <si>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</si>
  <si>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</si>
  <si>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</si>
  <si>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</si>
  <si>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</si>
  <si>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</si>
  <si>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</si>
  <si>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</si>
  <si>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</si>
  <si>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</si>
  <si>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</si>
  <si>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</si>
  <si>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</si>
  <si>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</si>
  <si>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</si>
  <si>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 xml:space="preserve">Steve General Contractor, Inc. </t>
  </si>
  <si>
    <t>3774 Telephone Rd</t>
  </si>
  <si>
    <t>Caledonia</t>
  </si>
  <si>
    <t>Glaziers</t>
  </si>
  <si>
    <t>Structural Iron and Steel Workers</t>
  </si>
  <si>
    <t>Michelle McVicker</t>
  </si>
  <si>
    <t>Administrative Assistant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</si>
</sst>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495300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123825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P13" zoomScale="70" zoomScaleNormal="70" zoomScaleSheetLayoutView="40" zoomScalePageLayoutView="96" workbookViewId="0">
      <selection activeCell="AF23" sqref="AF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0.285156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1" t="s">
        <v>321</v>
      </c>
      <c r="J5" s="171"/>
      <c r="K5" s="171"/>
      <c r="L5" s="171"/>
      <c r="M5" s="171"/>
      <c r="N5" s="171"/>
      <c r="O5" s="171"/>
      <c r="P5" s="171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73" t="s">
        <v>1842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1"/>
      <c r="O8" s="164"/>
      <c r="P8" s="165"/>
      <c r="Q8" s="132"/>
      <c r="R8" s="38"/>
      <c r="S8" s="43" t="s">
        <v>7</v>
      </c>
      <c r="T8" s="116"/>
      <c r="U8" s="53"/>
      <c r="V8" s="2"/>
      <c r="W8" s="2"/>
      <c r="X8" s="179" t="s">
        <v>1843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1"/>
      <c r="O9" s="164"/>
      <c r="P9" s="165"/>
      <c r="Q9" s="132"/>
      <c r="R9" s="38"/>
      <c r="S9" s="43" t="s">
        <v>8</v>
      </c>
      <c r="T9" s="116"/>
      <c r="U9" s="70"/>
      <c r="V9" s="2"/>
      <c r="W9" s="2"/>
      <c r="X9" s="86"/>
      <c r="Y9" s="137">
        <v>43287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 t="s">
        <v>451</v>
      </c>
      <c r="F10" s="32">
        <v>14423</v>
      </c>
      <c r="G10" s="70"/>
      <c r="H10" s="41"/>
      <c r="I10" s="153"/>
      <c r="J10" s="153"/>
      <c r="K10" s="153"/>
      <c r="L10" s="153"/>
      <c r="M10" s="153"/>
      <c r="N10" s="127"/>
      <c r="O10" s="153"/>
      <c r="P10" s="153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7"/>
      <c r="O11" s="153"/>
      <c r="P11" s="153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5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1840</v>
      </c>
      <c r="E22" s="93"/>
      <c r="F22" s="97">
        <v>10</v>
      </c>
      <c r="G22" s="97">
        <v>1836</v>
      </c>
      <c r="H22" s="95">
        <v>56057.98</v>
      </c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/>
      <c r="Y22" s="100"/>
      <c r="Z22" s="121"/>
      <c r="AA22" s="100"/>
      <c r="AB22" s="100"/>
      <c r="AC22" s="121"/>
      <c r="AD22" s="101">
        <v>1</v>
      </c>
      <c r="AE22" s="101">
        <v>194</v>
      </c>
      <c r="AF22" s="123">
        <v>6235</v>
      </c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1841</v>
      </c>
      <c r="E23" s="93" t="str">
        <f>IF(ISERROR(VLOOKUP(D23,Sheet3!$A$2:$B$821,2,FALSE)),"",(VLOOKUP(D23,Sheet3!$A$2:$B$821,2,FALSE)))</f>
        <v>47-2221</v>
      </c>
      <c r="F23" s="97">
        <v>7</v>
      </c>
      <c r="G23" s="97">
        <v>1204</v>
      </c>
      <c r="H23" s="95">
        <v>39979.949999999997</v>
      </c>
      <c r="I23" s="97"/>
      <c r="J23" s="97"/>
      <c r="K23" s="95"/>
      <c r="L23" s="98">
        <v>1</v>
      </c>
      <c r="M23" s="98">
        <v>183.5</v>
      </c>
      <c r="N23" s="117">
        <v>5676.75</v>
      </c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 t="s">
        <v>15</v>
      </c>
      <c r="AG23" s="102"/>
      <c r="AH23" s="101"/>
      <c r="AI23" s="125"/>
      <c r="AJ23" s="2"/>
      <c r="AK23" s="2"/>
    </row>
    <row r="24" spans="1:37" ht="23.25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7"/>
      <c r="T38" s="147"/>
      <c r="U38" s="148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17</v>
      </c>
      <c r="G39" s="96">
        <f>SUM(G22:G37)</f>
        <v>3040</v>
      </c>
      <c r="H39" s="114">
        <f>SUM(H22:H37)</f>
        <v>96037.93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1</v>
      </c>
      <c r="M39" s="96">
        <f t="shared" si="0"/>
        <v>183.5</v>
      </c>
      <c r="N39" s="114">
        <f>SUM(N22:N37)</f>
        <v>5676.75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0</v>
      </c>
      <c r="Y39" s="96">
        <f t="shared" si="0"/>
        <v>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1</v>
      </c>
      <c r="AE39" s="96">
        <f t="shared" si="0"/>
        <v>194</v>
      </c>
      <c r="AF39" s="114">
        <f>SUM(AF22:AF37)</f>
        <v>6235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495300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123825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Ann</cp:lastModifiedBy>
  <cp:lastPrinted>2018-07-06T19:40:39Z</cp:lastPrinted>
  <dcterms:created xsi:type="dcterms:W3CDTF">2016-01-07T15:16:02Z</dcterms:created>
  <dcterms:modified xsi:type="dcterms:W3CDTF">2018-07-06T20:07:35Z</dcterms:modified>
</cp:coreProperties>
</file>