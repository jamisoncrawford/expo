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G:\VALERIE\Project Forms\1736 NYS Fairgrounds\"/>
    </mc:Choice>
  </mc:AlternateContent>
  <xr:revisionPtr revIDLastSave="0" documentId="8_{325D7764-D074-4D67-913B-8CB228870C08}" xr6:coauthVersionLast="34" xr6:coauthVersionMax="34" xr10:uidLastSave="{00000000-0000-0000-0000-000000000000}"/>
  <bookViews>
    <workbookView xWindow="0" yWindow="0" windowWidth="20430" windowHeight="7470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1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<sst xmlns="http://schemas.openxmlformats.org/spreadsheetml/2006/main" count="2108" uniqueCount="1846">
  <si>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</si>
  <si>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</si>
  <si>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</si>
  <si>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</si>
  <si>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</si>
  <si>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</si>
  <si>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</si>
  <si>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</si>
  <si>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</si>
  <si>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</si>
  <si>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</si>
  <si>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</si>
  <si>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</si>
  <si>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</si>
  <si>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</si>
  <si>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</si>
  <si>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</si>
  <si>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</si>
  <si>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</si>
  <si>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</si>
  <si>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</si>
  <si>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</si>
  <si>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</si>
  <si>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</si>
  <si>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</si>
  <si>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</si>
  <si>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</si>
  <si>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</si>
  <si>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</si>
  <si>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</si>
  <si>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</si>
  <si>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</si>
  <si>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</si>
  <si>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</si>
  <si>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</si>
  <si>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</si>
  <si>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</si>
  <si>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</si>
  <si>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</si>
  <si>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</si>
  <si>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</si>
  <si>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</si>
  <si>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</si>
  <si>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</si>
  <si>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</si>
  <si>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</si>
  <si>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</si>
  <si>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</si>
  <si>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</si>
  <si>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</si>
  <si>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</si>
  <si>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</si>
  <si>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</si>
  <si>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</si>
  <si>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</si>
  <si>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</si>
  <si>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</si>
  <si>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</si>
  <si>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</si>
  <si>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</si>
  <si>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</si>
  <si>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</si>
  <si>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</si>
  <si>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</si>
  <si>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</si>
  <si>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</si>
  <si>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</si>
  <si>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</si>
  <si>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</si>
  <si>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</si>
  <si>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</si>
  <si>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</si>
  <si>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</si>
  <si>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</si>
  <si>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</si>
  <si>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</si>
  <si>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</si>
  <si>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</si>
  <si>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</si>
  <si>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</si>
  <si>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</si>
  <si>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</si>
  <si>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</si>
  <si>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</si>
  <si>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</si>
  <si>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</si>
  <si>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</si>
  <si>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</si>
  <si>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</si>
  <si>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</si>
  <si>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</si>
  <si>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</si>
  <si>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</si>
  <si>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</si>
  <si>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</si>
  <si>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</si>
  <si>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</si>
  <si>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</si>
  <si>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</si>
  <si>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</si>
  <si>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</si>
  <si>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</si>
  <si>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</si>
  <si>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</si>
  <si>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</si>
  <si>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</si>
  <si>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</si>
  <si>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</si>
  <si>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</si>
  <si>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</si>
  <si>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</si>
  <si>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</si>
  <si>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</si>
  <si>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</si>
  <si>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</si>
  <si>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</si>
  <si>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</si>
  <si>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</si>
  <si>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</si>
  <si>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</si>
  <si>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</si>
  <si>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</si>
  <si>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</si>
  <si>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</si>
  <si>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</si>
  <si>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</si>
  <si>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</si>
  <si>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</si>
  <si>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</si>
  <si>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</si>
  <si>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</si>
  <si>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</si>
  <si>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</si>
  <si>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</si>
  <si>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</si>
  <si>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</si>
  <si>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</si>
  <si>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</si>
  <si>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</si>
  <si>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</si>
  <si>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</si>
  <si>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</si>
  <si>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</si>
  <si>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</si>
  <si>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</si>
  <si>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</si>
  <si>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</si>
  <si>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</si>
  <si>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</si>
  <si>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</si>
  <si>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</si>
  <si>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</si>
  <si>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</si>
  <si>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</si>
  <si>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</si>
  <si>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</si>
  <si>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</si>
  <si>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</si>
  <si>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</si>
  <si>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</si>
  <si>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</si>
  <si>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</si>
  <si>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</si>
  <si>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</si>
  <si>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</si>
  <si>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</si>
  <si>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</si>
  <si>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</si>
  <si>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</si>
  <si>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</si>
  <si>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</si>
  <si>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</si>
  <si>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</si>
  <si>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</si>
  <si>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</si>
  <si>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</si>
  <si>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</si>
  <si>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</si>
  <si>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</si>
  <si>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</si>
  <si>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</si>
  <si>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</si>
  <si>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</si>
  <si>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</si>
  <si>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</si>
  <si>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</si>
  <si>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</si>
  <si>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</si>
  <si>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</si>
  <si>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</si>
  <si>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</si>
  <si>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</si>
  <si>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</si>
  <si>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</si>
  <si>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</si>
  <si>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</si>
  <si>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</si>
  <si>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</si>
  <si>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</si>
  <si>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</si>
  <si>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</si>
  <si>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</si>
  <si>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</si>
  <si>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</si>
  <si>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</si>
  <si>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</si>
  <si>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</si>
  <si>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</si>
  <si>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</si>
  <si>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</si>
  <si>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</si>
  <si>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</si>
  <si>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</si>
  <si>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</si>
  <si>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</si>
  <si>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</si>
  <si>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</si>
  <si>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</si>
  <si>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</si>
  <si>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</si>
  <si>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</si>
  <si>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</si>
  <si>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</si>
  <si>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</si>
  <si>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</si>
  <si>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</si>
  <si>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</si>
  <si>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</si>
  <si>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</si>
  <si>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</si>
  <si>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</si>
  <si>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</si>
  <si>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</si>
  <si>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</si>
  <si>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</si>
  <si>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</si>
  <si>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</si>
  <si>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</si>
  <si>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</si>
  <si>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</si>
  <si>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</si>
  <si>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</si>
  <si>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</si>
  <si>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</si>
  <si>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</si>
  <si>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</si>
  <si>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</si>
  <si>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</si>
  <si>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</si>
  <si>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</si>
  <si>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</si>
  <si>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</si>
  <si>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</si>
  <si>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</si>
  <si>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</si>
  <si>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</si>
  <si>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</si>
  <si>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</si>
  <si>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</si>
  <si>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</si>
  <si>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</si>
  <si>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</si>
  <si>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</si>
  <si>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</si>
  <si>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</si>
  <si>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</si>
  <si>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</si>
  <si>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</si>
  <si>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</si>
  <si>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</si>
  <si>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</si>
  <si>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</si>
  <si>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</si>
  <si>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</si>
  <si>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</si>
  <si>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</si>
  <si>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</si>
  <si>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</si>
  <si>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</si>
  <si>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</si>
  <si>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</si>
  <si>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</si>
  <si>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</si>
  <si>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</si>
  <si>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</si>
  <si>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</si>
  <si>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</si>
  <si>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</si>
  <si>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</si>
  <si>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</si>
  <si>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</si>
  <si>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</si>
  <si>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</si>
  <si>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</si>
  <si>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</si>
  <si>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</si>
  <si>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</si>
  <si>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</si>
  <si>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</si>
  <si>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</si>
  <si>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</si>
  <si>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</si>
  <si>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</si>
  <si>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</si>
  <si>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</si>
  <si>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</si>
  <si>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</si>
  <si>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</si>
  <si>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</si>
  <si>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</si>
  <si>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</si>
  <si>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</si>
  <si>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</si>
  <si>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</si>
  <si>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</si>
  <si>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</si>
  <si>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</si>
  <si>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</si>
  <si>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</si>
  <si>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</si>
  <si>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</si>
  <si>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</si>
  <si>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</si>
  <si>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</si>
  <si>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</si>
  <si>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</si>
  <si>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</si>
  <si>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</si>
  <si>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</si>
  <si>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</si>
  <si>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</si>
  <si>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</si>
  <si>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</si>
  <si>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</si>
  <si>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</si>
  <si>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</si>
  <si>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</si>
  <si>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</si>
  <si>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</si>
  <si>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</si>
  <si>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</si>
  <si>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</si>
  <si>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</si>
  <si>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</si>
  <si>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</si>
  <si>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</si>
  <si>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</si>
  <si>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</si>
  <si>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</si>
  <si>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</si>
  <si>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</si>
  <si>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</si>
  <si>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</si>
  <si>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</si>
  <si>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</si>
  <si>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</si>
  <si>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</si>
  <si>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</si>
  <si>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</si>
  <si>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</si>
  <si>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</si>
  <si>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</si>
  <si>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</si>
  <si>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</si>
  <si>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</si>
  <si>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</si>
  <si>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</si>
  <si>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</si>
  <si>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</si>
  <si>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</si>
  <si>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</si>
  <si>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</si>
  <si>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</si>
  <si>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</si>
  <si>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</si>
  <si>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</si>
  <si>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</si>
  <si>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</si>
  <si>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</si>
  <si>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</si>
  <si>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</si>
  <si>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</si>
  <si>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</si>
  <si>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</si>
  <si>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</si>
  <si>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</si>
  <si>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</si>
  <si>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</si>
  <si>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</si>
  <si>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</si>
  <si>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</si>
  <si>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</si>
  <si>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</si>
  <si>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</si>
  <si>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</si>
  <si>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</si>
  <si>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</si>
  <si>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</si>
  <si>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</si>
  <si>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</si>
  <si>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</si>
  <si>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</si>
  <si>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</si>
  <si>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</si>
  <si>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</si>
  <si>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</si>
  <si>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</si>
  <si>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</si>
  <si>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</si>
  <si>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</si>
  <si>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</si>
  <si>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</si>
  <si>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</si>
  <si>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</si>
  <si>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</si>
  <si>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</si>
  <si>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</si>
  <si>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</si>
  <si>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</si>
  <si>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</si>
  <si>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</si>
  <si>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</si>
  <si>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</si>
  <si>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</si>
  <si>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</si>
  <si>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</si>
  <si>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</si>
  <si>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</si>
  <si>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</si>
  <si>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</si>
  <si>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</si>
  <si>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</si>
  <si>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</si>
  <si>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</si>
  <si>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</si>
  <si>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</si>
  <si>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</si>
  <si>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</si>
  <si>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</si>
  <si>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</si>
  <si>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</si>
  <si>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</si>
  <si>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</si>
  <si>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</si>
  <si>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</si>
  <si>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</si>
  <si>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</si>
  <si>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</si>
  <si>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</si>
  <si>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</si>
  <si>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</si>
  <si>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</si>
  <si>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</si>
  <si>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</si>
  <si>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</si>
  <si>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</si>
  <si>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</si>
  <si>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</si>
  <si>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</si>
  <si>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</si>
  <si>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</si>
  <si>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</si>
  <si>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</si>
  <si>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</si>
  <si>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</si>
  <si>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</si>
  <si>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</si>
  <si>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</si>
  <si>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</si>
  <si>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</si>
  <si>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</si>
  <si>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</si>
  <si>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</si>
  <si>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</si>
  <si>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</si>
  <si>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</si>
  <si>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</si>
  <si>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</si>
  <si>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</si>
  <si>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</si>
  <si>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</si>
  <si>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</si>
  <si>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</si>
  <si>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</si>
  <si>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</si>
  <si>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</si>
  <si>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</si>
  <si>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</si>
  <si>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</si>
  <si>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</si>
  <si>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</si>
  <si>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</si>
  <si>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</si>
  <si>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</si>
  <si>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</si>
  <si>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</si>
  <si>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</si>
  <si>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</si>
  <si>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</si>
  <si>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</si>
  <si>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</si>
  <si>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</si>
  <si>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</si>
  <si>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</si>
  <si>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</si>
  <si>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</si>
  <si>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</si>
  <si>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</si>
  <si>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</si>
  <si>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</si>
  <si>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</si>
  <si>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</si>
  <si>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</si>
  <si>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</si>
  <si>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</si>
  <si>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</si>
  <si>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</si>
  <si>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</si>
  <si>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</si>
  <si>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</si>
  <si>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</si>
  <si>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</si>
  <si>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</si>
  <si>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</si>
  <si>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</si>
  <si>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</si>
  <si>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</si>
  <si>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</si>
  <si>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</si>
  <si>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</si>
  <si>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</si>
  <si>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</si>
  <si>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</si>
  <si>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</si>
  <si>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</si>
  <si>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</si>
  <si>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</si>
  <si>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</si>
  <si>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</si>
  <si>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</si>
  <si>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</si>
  <si>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</si>
  <si>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</si>
  <si>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</si>
  <si>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</si>
  <si>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</si>
  <si>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</si>
  <si>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</si>
  <si>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</si>
  <si>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</si>
  <si>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</si>
  <si>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</si>
  <si>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</si>
  <si>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</si>
  <si>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</si>
  <si>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</si>
  <si>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</si>
  <si>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</si>
  <si>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</si>
  <si>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</si>
  <si>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</si>
  <si>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</si>
  <si>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</si>
  <si>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</si>
  <si>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</si>
  <si>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</si>
  <si>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</si>
  <si>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</si>
  <si>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</si>
  <si>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</si>
  <si>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</si>
  <si>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</si>
  <si>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</si>
  <si>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</si>
  <si>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</si>
  <si>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</si>
  <si>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</si>
  <si>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</si>
  <si>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</si>
  <si>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</si>
  <si>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</si>
  <si>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</si>
  <si>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</si>
  <si>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</si>
  <si>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</si>
  <si>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</si>
  <si>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</si>
  <si>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</si>
  <si>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</si>
  <si>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</si>
  <si>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</si>
  <si>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</si>
  <si>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</si>
  <si>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</si>
  <si>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</si>
  <si>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</si>
  <si>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</si>
  <si>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</si>
  <si>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</si>
  <si>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</si>
  <si>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</si>
  <si>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</si>
  <si>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</si>
  <si>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</si>
  <si>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</si>
  <si>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</si>
  <si>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</si>
  <si>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</si>
  <si>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</si>
  <si>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</si>
  <si>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</si>
  <si>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</si>
  <si>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</si>
  <si>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</si>
  <si>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</si>
  <si>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</si>
  <si>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</si>
  <si>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</si>
  <si>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</si>
  <si>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</si>
  <si>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</si>
  <si>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</si>
  <si>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</si>
  <si>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</si>
  <si>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</si>
  <si>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</si>
  <si>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</si>
  <si>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</si>
  <si>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</si>
  <si>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</si>
  <si>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</si>
  <si>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</si>
  <si>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</si>
  <si>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</si>
  <si>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</si>
  <si>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</si>
  <si>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</si>
  <si>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</si>
  <si>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</si>
  <si>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</si>
  <si>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</si>
  <si>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</si>
  <si>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</si>
  <si>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</si>
  <si>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</si>
  <si>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</si>
  <si>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</si>
  <si>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</si>
  <si>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</si>
  <si>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</si>
  <si>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</si>
  <si>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</si>
  <si>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</si>
  <si>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</si>
  <si>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</si>
  <si>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</si>
  <si>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</si>
  <si>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</si>
  <si>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</si>
  <si>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</si>
  <si>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</si>
  <si>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</si>
  <si>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</si>
  <si>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</si>
  <si>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</si>
  <si>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</si>
  <si>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</si>
  <si>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</si>
  <si>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</si>
  <si>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</si>
  <si>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</si>
  <si>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</si>
  <si>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</si>
  <si>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</si>
  <si>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</si>
  <si>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</si>
  <si>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</si>
  <si>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</si>
  <si>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</si>
  <si>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</si>
  <si>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</si>
  <si>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</si>
  <si>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</si>
  <si>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</si>
  <si>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</si>
  <si>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</si>
  <si>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</si>
  <si>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</si>
  <si>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</si>
  <si>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</si>
  <si>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</si>
  <si>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</si>
  <si>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</si>
  <si>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</si>
  <si>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</si>
  <si>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</si>
  <si>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</si>
  <si>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</si>
  <si>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</si>
  <si>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</si>
  <si>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</si>
  <si>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</si>
  <si>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</si>
  <si>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</si>
  <si>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</si>
  <si>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</si>
  <si>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</si>
  <si>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</si>
  <si>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</si>
  <si>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</si>
  <si>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</si>
  <si>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</si>
  <si>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</si>
  <si>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</si>
  <si>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</si>
  <si>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</si>
  <si>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</si>
  <si>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</si>
  <si>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</si>
  <si>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</si>
  <si>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</si>
  <si>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</si>
  <si>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</si>
  <si>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</si>
  <si>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</si>
  <si>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</si>
  <si>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</si>
  <si>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</si>
  <si>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</si>
  <si>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</si>
  <si>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</si>
  <si>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</si>
  <si>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</si>
  <si>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</si>
  <si>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</si>
  <si>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</si>
  <si>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</si>
  <si>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</si>
  <si>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</si>
  <si>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</si>
  <si>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</si>
  <si>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</si>
  <si>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</si>
  <si>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</si>
  <si>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</si>
  <si>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</si>
  <si>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</si>
  <si>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</si>
  <si>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</si>
  <si>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</si>
  <si>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</si>
  <si>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</si>
  <si>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</si>
  <si>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</si>
  <si>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</si>
  <si>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</si>
  <si>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</si>
  <si>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</si>
  <si>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</si>
  <si>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</si>
  <si>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</si>
  <si>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</si>
  <si>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</si>
  <si>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</si>
  <si>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</si>
  <si>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</si>
  <si>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</si>
  <si>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</si>
  <si>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</si>
  <si>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</si>
  <si>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</si>
  <si>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</si>
  <si>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</si>
  <si>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</si>
  <si>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</si>
  <si>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</si>
  <si>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</si>
  <si>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</si>
  <si>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</si>
  <si>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</si>
  <si>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</si>
  <si>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</si>
  <si>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</si>
  <si>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</si>
  <si>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</si>
  <si>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</si>
  <si>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</si>
  <si>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</si>
  <si>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</si>
  <si>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</si>
  <si>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</si>
  <si>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</si>
  <si>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</si>
  <si>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</si>
  <si>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</si>
  <si>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</si>
  <si>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</si>
  <si>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</si>
  <si>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</si>
  <si>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</si>
  <si>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</si>
  <si>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</si>
  <si>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</si>
  <si>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</si>
  <si>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</si>
  <si>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</si>
  <si>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</si>
  <si>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</si>
  <si>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</si>
  <si>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</si>
  <si>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</si>
  <si>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</si>
  <si>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</si>
  <si>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</si>
  <si>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</si>
  <si>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</si>
  <si>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</si>
  <si>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</si>
  <si>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</si>
  <si>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</si>
  <si>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</si>
  <si>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</si>
  <si>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</si>
  <si>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</si>
  <si>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</si>
  <si>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</si>
  <si>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</si>
  <si>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</si>
  <si>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</si>
  <si>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</si>
  <si>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</si>
  <si>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</si>
  <si>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</si>
  <si>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</si>
  <si>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</si>
  <si>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</si>
  <si>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</si>
  <si>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</si>
  <si>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</si>
  <si>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</si>
  <si>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</si>
  <si>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</si>
  <si>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</si>
  <si>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</si>
  <si>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</si>
  <si>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</si>
  <si>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</si>
  <si>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</si>
  <si>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</si>
  <si>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</si>
  <si>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</si>
  <si>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</si>
  <si>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</si>
  <si>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</si>
  <si>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</si>
  <si>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</si>
  <si>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</si>
  <si>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</si>
  <si>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</si>
  <si>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</si>
  <si>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</si>
  <si>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</si>
  <si>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</si>
  <si>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</si>
  <si>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</si>
  <si>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</si>
  <si>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</si>
  <si>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</si>
  <si>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</si>
  <si>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</si>
  <si>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</si>
  <si>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</si>
  <si>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</si>
  <si>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</si>
  <si>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</si>
  <si>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</si>
  <si>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</si>
  <si>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</si>
  <si>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</si>
  <si>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</si>
  <si>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</si>
  <si>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</si>
  <si>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</si>
  <si>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</si>
  <si>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</si>
  <si>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</si>
  <si>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</si>
  <si>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</si>
  <si>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</si>
  <si>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</si>
  <si>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</si>
  <si>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</si>
  <si>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</si>
  <si>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</si>
  <si>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</si>
  <si>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</si>
  <si>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</si>
  <si>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</si>
  <si>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</si>
  <si>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</si>
  <si>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</si>
  <si>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</si>
  <si>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</si>
  <si>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</si>
  <si>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</si>
  <si>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</si>
  <si>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</si>
  <si>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</si>
  <si>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</si>
  <si>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</si>
  <si>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</si>
  <si>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</si>
  <si>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</si>
  <si>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</si>
  <si>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</si>
  <si>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</si>
  <si>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</si>
  <si>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</si>
  <si>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</si>
  <si>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</si>
  <si>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</si>
  <si>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</si>
  <si>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</si>
  <si>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</si>
  <si>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</si>
  <si>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</si>
  <si>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</si>
  <si>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</si>
  <si>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</si>
  <si>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</si>
  <si>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</si>
  <si>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</si>
  <si>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</si>
  <si>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</si>
  <si>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</si>
  <si>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</si>
  <si>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</si>
  <si>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</si>
  <si>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</si>
  <si>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</si>
  <si>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</si>
  <si>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</si>
  <si>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</si>
  <si>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</si>
  <si>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</si>
  <si>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</si>
  <si>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</si>
  <si>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</si>
  <si>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</si>
  <si>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</si>
  <si>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</si>
  <si>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</si>
  <si>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</si>
  <si>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</si>
  <si>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</si>
  <si>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</si>
  <si>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</si>
  <si>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</si>
  <si>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</si>
  <si>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</si>
  <si>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</si>
  <si>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</si>
  <si>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</si>
  <si>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</si>
  <si>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</si>
  <si>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</si>
  <si>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</si>
  <si>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</si>
  <si>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</si>
  <si>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</si>
  <si>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</si>
  <si>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</si>
  <si>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</si>
  <si>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</si>
  <si>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</si>
  <si>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</si>
  <si>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</si>
  <si>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</si>
  <si>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</si>
  <si>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</si>
  <si>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</si>
  <si>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</si>
  <si>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</si>
  <si>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</si>
  <si>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</si>
  <si>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</si>
  <si>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</si>
  <si>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</si>
  <si>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</si>
  <si>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</si>
  <si>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</si>
  <si>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</si>
  <si>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</si>
  <si>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</si>
  <si>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</si>
  <si>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</si>
  <si>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</si>
  <si>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</si>
  <si>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</si>
  <si>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</si>
  <si>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</si>
  <si>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</si>
  <si>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</si>
  <si>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</si>
  <si>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</si>
  <si>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</si>
  <si>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</si>
  <si>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</si>
  <si>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</si>
  <si>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</si>
  <si>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</si>
  <si>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</si>
  <si>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</si>
  <si>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</si>
  <si>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</si>
  <si>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</si>
  <si>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</si>
  <si>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</si>
  <si>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</si>
  <si>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</si>
  <si>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</si>
  <si>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</si>
  <si>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</si>
  <si>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</si>
  <si>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</si>
  <si>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</si>
  <si>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</si>
  <si>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</si>
  <si>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</si>
  <si>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</si>
  <si>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</si>
  <si>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</si>
  <si>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</si>
  <si>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</si>
  <si>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</si>
  <si>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</si>
  <si>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</si>
  <si>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</si>
  <si>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</si>
  <si>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</si>
  <si>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</si>
  <si>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</si>
  <si>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</si>
  <si>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</si>
  <si>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</si>
  <si>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</si>
  <si>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</si>
  <si>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</si>
  <si>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</si>
  <si>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</si>
  <si>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</si>
  <si>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</si>
  <si>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</si>
  <si>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</si>
  <si>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</si>
  <si>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</si>
  <si>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</si>
  <si>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</si>
  <si>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</si>
  <si>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</si>
  <si>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</si>
  <si>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</si>
  <si>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</si>
  <si>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</si>
  <si>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</si>
  <si>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</si>
  <si>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</si>
  <si>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</si>
  <si>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</si>
  <si>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</si>
  <si>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</si>
  <si>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</si>
  <si>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</si>
  <si>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</si>
  <si>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</si>
  <si>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</si>
  <si>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</si>
  <si>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</si>
  <si>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</si>
  <si>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</si>
  <si>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</si>
  <si>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</si>
  <si>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</si>
  <si>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</si>
  <si>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</si>
  <si>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</si>
  <si>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</si>
  <si>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</si>
  <si>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</si>
  <si>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</si>
  <si>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</si>
  <si>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</si>
  <si>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</si>
  <si>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</si>
  <si>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</si>
  <si>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</si>
  <si>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</si>
  <si>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</si>
  <si>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</si>
  <si>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</si>
  <si>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</si>
  <si>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</si>
  <si>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</si>
  <si>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</si>
  <si>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</si>
  <si>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</si>
  <si>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</si>
  <si>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</si>
  <si>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</si>
  <si>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</si>
  <si>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</si>
  <si>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</si>
  <si>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</si>
  <si>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</si>
  <si>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</si>
  <si>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</si>
  <si>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</si>
  <si>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</si>
  <si>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</si>
  <si>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</si>
  <si>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</si>
  <si>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</si>
  <si>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</si>
  <si>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</si>
  <si>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</si>
  <si>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</si>
  <si>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</si>
  <si>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</si>
  <si>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</si>
  <si>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</si>
  <si>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</si>
  <si>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</si>
  <si>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</si>
  <si>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</si>
  <si>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</si>
  <si>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</si>
  <si>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</si>
  <si>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</si>
  <si>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</si>
  <si>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</si>
  <si>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</si>
  <si>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</si>
  <si>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</si>
  <si>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</si>
  <si>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</si>
  <si>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</si>
  <si>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</si>
  <si>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</si>
  <si>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</si>
  <si>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</si>
  <si>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</si>
  <si>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</si>
  <si>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</si>
  <si>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</si>
  <si>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</si>
  <si>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</si>
  <si>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</si>
  <si>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</si>
  <si>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</si>
  <si>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</si>
  <si>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</si>
  <si>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</si>
  <si>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</si>
  <si>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</si>
  <si>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</si>
  <si>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</si>
  <si>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</si>
  <si>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</si>
  <si>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</si>
  <si>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</si>
  <si>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</si>
  <si>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</si>
  <si>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</si>
  <si>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</si>
  <si>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</si>
  <si>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</si>
  <si>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</si>
  <si>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</si>
  <si>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</si>
  <si>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</si>
  <si>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</si>
  <si>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</si>
  <si>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</si>
  <si>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</si>
  <si>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</si>
  <si>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</si>
  <si>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</si>
  <si>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</si>
  <si>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</si>
  <si>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</si>
  <si>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</si>
  <si>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</si>
  <si>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</si>
  <si>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</si>
  <si>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</si>
  <si>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</si>
  <si>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</si>
  <si>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</si>
  <si>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</si>
  <si>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</si>
  <si>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</si>
  <si>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</si>
  <si>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</si>
  <si>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</si>
  <si>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</si>
  <si>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</si>
  <si>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</si>
  <si>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</si>
  <si>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</si>
  <si>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</si>
  <si>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</si>
  <si>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</si>
  <si>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</si>
  <si>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</si>
  <si>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</si>
  <si>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</si>
  <si>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</si>
  <si>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</si>
  <si>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</si>
  <si>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</si>
  <si>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</si>
  <si>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</si>
  <si>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</si>
  <si>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</si>
  <si>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</si>
  <si>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</si>
  <si>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</si>
  <si>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</si>
  <si>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</si>
  <si>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</si>
  <si>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</si>
  <si>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</si>
  <si>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</si>
  <si>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</si>
  <si>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</si>
  <si>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</si>
  <si>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</si>
  <si>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</si>
  <si>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</si>
  <si>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</si>
  <si>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</si>
  <si>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</si>
  <si>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</si>
  <si>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</si>
  <si>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</si>
  <si>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</si>
  <si>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</si>
  <si>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</si>
  <si>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</si>
  <si>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</si>
  <si>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</si>
  <si>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</si>
  <si>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</si>
  <si>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</si>
  <si>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</si>
  <si>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</si>
  <si>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</si>
  <si>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</si>
  <si>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</si>
  <si>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</si>
  <si>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</si>
  <si>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</si>
  <si>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</si>
  <si>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</si>
  <si>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</si>
  <si>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</si>
  <si>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</si>
  <si>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</si>
  <si>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</si>
  <si>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</si>
  <si>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</si>
  <si>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</si>
  <si>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</si>
  <si>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</si>
  <si>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</si>
  <si>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</si>
  <si>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</si>
  <si>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</si>
  <si>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</si>
  <si>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</si>
  <si>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</si>
  <si>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</si>
  <si>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</si>
  <si>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</si>
  <si>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</si>
  <si>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</si>
  <si>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</si>
  <si>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</si>
  <si>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</si>
  <si>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</si>
  <si>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</si>
  <si>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</si>
  <si>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</si>
  <si>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</si>
  <si>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</si>
  <si>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</si>
  <si>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</si>
  <si>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</si>
  <si>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</si>
  <si>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</si>
  <si>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</si>
  <si>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</si>
  <si>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</si>
  <si>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</si>
  <si>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</si>
  <si>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</si>
  <si>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</si>
  <si>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</si>
  <si>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</si>
  <si>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</si>
  <si>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</si>
  <si>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</si>
  <si>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</si>
  <si>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</si>
  <si>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</si>
  <si>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</si>
  <si>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</si>
  <si>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</si>
  <si>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</si>
  <si>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</si>
  <si>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</si>
  <si>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</si>
  <si>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</si>
  <si>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</si>
  <si>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</si>
  <si>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</si>
  <si>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</si>
  <si>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</si>
  <si>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</si>
  <si>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</si>
  <si>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</si>
  <si>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</si>
  <si>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</si>
  <si>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</si>
  <si>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</si>
  <si>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</si>
  <si>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</si>
  <si>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</si>
  <si>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</si>
  <si>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</si>
  <si>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</si>
  <si>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</si>
  <si>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</si>
  <si>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</si>
  <si>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</si>
  <si>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</si>
  <si>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</si>
  <si>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</si>
  <si>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</si>
  <si>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</si>
  <si>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</si>
  <si>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</si>
  <si>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</si>
  <si>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</si>
  <si>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</si>
  <si>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</si>
  <si>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</si>
  <si>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</si>
  <si>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</si>
  <si>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</si>
  <si>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</si>
  <si>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</si>
  <si>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</si>
  <si>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</si>
  <si>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</si>
  <si>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</si>
  <si>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</si>
  <si>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</si>
  <si>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</si>
  <si>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</si>
  <si>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</si>
  <si>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</si>
  <si>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</si>
  <si>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</si>
  <si>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</si>
  <si>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</si>
  <si>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</si>
  <si>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</si>
  <si>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</si>
  <si>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</si>
  <si>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</si>
  <si>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</si>
  <si>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</si>
  <si>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</si>
  <si>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</si>
  <si>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</si>
  <si>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</si>
  <si>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</si>
  <si>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</si>
  <si>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</si>
  <si>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</si>
  <si>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</si>
  <si>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</si>
  <si>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</si>
  <si>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</si>
  <si>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</si>
  <si>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</si>
  <si>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</si>
  <si>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</si>
  <si>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</si>
  <si>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</si>
  <si>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</si>
  <si>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</si>
  <si>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</si>
  <si>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</si>
  <si>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</si>
  <si>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</si>
  <si>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</si>
  <si>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</si>
  <si>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</si>
  <si>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</si>
  <si>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</si>
  <si>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</si>
  <si>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</si>
  <si>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</si>
  <si>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</si>
  <si>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</si>
  <si>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</si>
  <si>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</si>
  <si>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</si>
  <si>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</si>
  <si>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</si>
  <si>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</si>
  <si>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</si>
  <si>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</si>
  <si>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</si>
  <si>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</si>
  <si>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</si>
  <si>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</si>
  <si>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</si>
  <si>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</si>
  <si>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</si>
  <si>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</si>
  <si>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</si>
  <si>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</si>
  <si>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</si>
  <si>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</si>
  <si>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</si>
  <si>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</si>
  <si>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</si>
  <si>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</si>
  <si>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</si>
  <si>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</si>
  <si>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</si>
  <si>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</si>
  <si>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</si>
  <si>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</si>
  <si>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</si>
  <si>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</si>
  <si>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</si>
  <si>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</si>
  <si>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</si>
  <si>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</si>
  <si>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</si>
  <si>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</si>
  <si>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</si>
  <si>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</si>
  <si>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</si>
  <si>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</si>
  <si>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</si>
  <si>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</si>
  <si>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</si>
  <si>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</si>
  <si>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</si>
  <si>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</si>
  <si>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</si>
  <si>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</si>
  <si>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</si>
  <si>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</si>
  <si>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</si>
  <si>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</si>
  <si>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</si>
  <si>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</si>
  <si>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</si>
  <si>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</si>
  <si>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</si>
  <si>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</si>
  <si>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</si>
  <si>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</si>
  <si>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</si>
  <si>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</si>
  <si>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</si>
  <si>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</si>
  <si>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</si>
  <si>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</si>
  <si>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</si>
  <si>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</si>
  <si>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</si>
  <si>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</si>
  <si>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</si>
  <si>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</si>
  <si>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</si>
  <si>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</si>
  <si>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</si>
  <si>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</si>
  <si>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</si>
  <si>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</si>
  <si>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</si>
  <si>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</si>
  <si>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</si>
  <si>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</si>
  <si>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</si>
  <si>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</si>
  <si>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</si>
  <si>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</si>
  <si>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</si>
  <si>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</si>
  <si>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</si>
  <si>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</si>
  <si>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</si>
  <si>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</si>
  <si>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</si>
  <si>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</si>
  <si>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</si>
  <si>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</si>
  <si>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</si>
  <si>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</si>
  <si>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</si>
  <si>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</si>
  <si>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</si>
  <si>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</si>
  <si>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</si>
  <si>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</si>
  <si>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</si>
  <si>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</si>
  <si>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</si>
  <si>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</si>
  <si>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</si>
  <si>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</si>
  <si>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</si>
  <si>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</si>
  <si>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</si>
  <si>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</si>
  <si>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</si>
  <si>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</si>
  <si>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</si>
  <si>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</si>
  <si>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</si>
  <si>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</si>
  <si>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</si>
  <si>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</si>
  <si>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</si>
  <si>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</si>
  <si>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</si>
  <si>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</si>
  <si>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</si>
  <si>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</si>
  <si>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</si>
  <si>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</si>
  <si>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</si>
  <si>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</si>
  <si>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</si>
  <si>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</si>
  <si>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</si>
  <si>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</si>
  <si>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</si>
  <si>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</si>
  <si>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</si>
  <si>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</si>
  <si>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</si>
  <si>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</si>
  <si>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</si>
  <si>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</si>
  <si>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</si>
  <si>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</si>
  <si>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</si>
  <si>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</si>
  <si>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</si>
  <si>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</si>
  <si>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</si>
  <si>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</si>
  <si>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</si>
  <si>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</si>
  <si>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</si>
  <si>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</si>
  <si>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</si>
  <si>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</si>
  <si>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</si>
  <si>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</si>
  <si>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</si>
  <si>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</si>
  <si>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</si>
  <si>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</si>
  <si>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</si>
  <si>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</si>
  <si>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</si>
  <si>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</si>
  <si>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</si>
  <si>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</si>
  <si>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</si>
  <si>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</si>
  <si>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</si>
  <si>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</si>
  <si>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</si>
  <si>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</si>
  <si>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</si>
  <si>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</si>
  <si>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</si>
  <si>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</si>
  <si>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</si>
  <si>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</si>
  <si>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</si>
  <si>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</si>
  <si>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</si>
  <si>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</si>
  <si>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</si>
  <si>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</si>
  <si>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</si>
  <si>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</si>
  <si>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</si>
  <si>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</si>
  <si>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</si>
  <si>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</si>
  <si>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</si>
  <si>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</si>
  <si>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</si>
  <si>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</si>
  <si>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</si>
  <si>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</si>
  <si>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</si>
  <si>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</si>
  <si>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</si>
  <si>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</si>
  <si>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</si>
  <si>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</si>
  <si>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</si>
  <si>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</si>
  <si>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</si>
  <si>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</si>
  <si>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</si>
  <si>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</si>
  <si>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</si>
  <si>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</si>
  <si>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</si>
  <si>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</si>
  <si>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</si>
  <si>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</si>
  <si>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</si>
  <si>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</si>
  <si>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</si>
  <si>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</si>
  <si>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</si>
  <si>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</si>
  <si>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</si>
  <si>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</si>
  <si>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</si>
  <si>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</si>
  <si>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</si>
  <si>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</si>
  <si>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</si>
  <si>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</si>
  <si>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</si>
  <si>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</si>
  <si>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</si>
  <si>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</si>
  <si>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</si>
  <si>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</si>
  <si>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</si>
  <si>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</si>
  <si>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</si>
  <si>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</si>
  <si>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</si>
  <si>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</si>
  <si>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</si>
  <si>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</si>
  <si>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</si>
  <si>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</si>
  <si>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</si>
  <si>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</si>
  <si>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</si>
  <si>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</si>
  <si>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</si>
  <si>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</si>
  <si>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</si>
  <si>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</si>
  <si>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</si>
  <si>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</si>
  <si>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</si>
  <si>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</si>
  <si>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</si>
  <si>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</si>
  <si>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</si>
  <si>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</si>
  <si>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</si>
  <si>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</si>
  <si>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</si>
  <si>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</si>
  <si>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</si>
  <si>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</si>
  <si>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</si>
  <si>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</si>
  <si>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</si>
  <si>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</si>
  <si>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</si>
  <si>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</si>
  <si>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</si>
  <si>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</si>
  <si>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</si>
  <si>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</si>
  <si>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</si>
  <si>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</si>
  <si>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</si>
  <si>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</si>
  <si>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</si>
  <si>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</si>
  <si>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</si>
  <si>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</si>
  <si>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</si>
  <si>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</si>
  <si>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</si>
  <si>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</si>
  <si>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</si>
  <si>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</si>
  <si>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</si>
  <si>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</si>
  <si>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</si>
  <si>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</si>
  <si>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</si>
  <si>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</si>
  <si>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</si>
  <si>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</si>
  <si>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</si>
  <si>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</si>
  <si>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</si>
  <si>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</si>
  <si>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</si>
  <si>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</si>
  <si>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</si>
  <si>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</si>
  <si>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</si>
  <si>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</si>
  <si>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</si>
  <si>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</si>
  <si>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</si>
  <si>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</si>
  <si>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</si>
  <si>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</si>
  <si>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</si>
  <si>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</si>
  <si>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</si>
  <si>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</si>
  <si>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</si>
  <si>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</si>
  <si>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</si>
  <si>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</si>
  <si>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</si>
  <si>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</si>
  <si>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</si>
  <si>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</si>
  <si>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</si>
  <si>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</si>
  <si>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</si>
  <si>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</si>
  <si>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</si>
  <si>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</si>
  <si>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</si>
  <si>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</si>
  <si>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</si>
  <si>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</si>
  <si>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</si>
  <si>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</si>
  <si>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</si>
  <si>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</si>
  <si>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</si>
  <si>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</si>
  <si>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</si>
  <si>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</si>
  <si>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</si>
  <si>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</si>
  <si>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</si>
  <si>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</si>
  <si>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</si>
  <si>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</si>
  <si>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</si>
  <si>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</si>
  <si>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</si>
  <si>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</si>
  <si>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</si>
  <si>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</si>
  <si>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</si>
  <si>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</si>
  <si>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</si>
  <si>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</si>
  <si>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</si>
  <si>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</si>
  <si>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</si>
  <si>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</si>
  <si>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</si>
  <si>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</si>
  <si>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</si>
  <si>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</si>
  <si>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</si>
  <si>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</si>
  <si>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</si>
  <si>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</si>
  <si>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</si>
  <si>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</si>
  <si>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</si>
  <si>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</si>
  <si>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</si>
  <si>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</si>
  <si>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</si>
  <si>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</si>
  <si>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</si>
  <si>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</si>
  <si>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</si>
  <si>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</si>
  <si>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</si>
  <si>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</si>
  <si>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</si>
  <si>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</si>
  <si>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</si>
  <si>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</si>
  <si>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</si>
  <si>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</si>
  <si>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</si>
  <si>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</si>
  <si>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</si>
  <si>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</si>
  <si>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</si>
  <si>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</si>
  <si>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</si>
  <si>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</si>
  <si>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</si>
  <si>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</si>
  <si>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</si>
  <si>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</si>
  <si>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</si>
  <si>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</si>
  <si>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</si>
  <si>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</si>
  <si>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</si>
  <si>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</si>
  <si>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</si>
  <si>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</si>
  <si>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</si>
  <si>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Ajay Glass &amp; Mirror Co., Inc.</t>
  </si>
  <si>
    <t>101 North Street</t>
  </si>
  <si>
    <t>Canandaigua, NY 14424</t>
  </si>
  <si>
    <t>Valerie Lapp</t>
  </si>
  <si>
    <t>Payroll Administrator</t>
  </si>
  <si>
    <t>Glaziers</t>
  </si>
  <si>
    <t>Structural Iron and Steel Workers</t>
  </si>
  <si>
    <t>47-2121</t>
  </si>
  <si>
    <t>Carpenters</t>
  </si>
  <si>
    <t>REVISED 7-10-18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</si>
</sst>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0" fontId="1" fillId="0" borderId="3" xfId="0" applyFont="1" applyFill="1" applyBorder="1" applyAlignment="1" applyProtection="1"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466725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95250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topLeftCell="A25" zoomScaleNormal="100" zoomScalePageLayoutView="96" workbookViewId="0">
      <selection activeCell="M7" sqref="M7:P7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71093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2"/>
      <c r="F6" s="160"/>
      <c r="G6" s="131"/>
      <c r="H6" s="40"/>
      <c r="I6" s="160"/>
      <c r="J6" s="160"/>
      <c r="K6" s="160"/>
      <c r="L6" s="160"/>
      <c r="M6" s="160"/>
      <c r="N6" s="160"/>
      <c r="O6" s="160"/>
      <c r="P6" s="160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8" t="s">
        <v>1845</v>
      </c>
      <c r="N7" s="188"/>
      <c r="O7" s="188"/>
      <c r="P7" s="188"/>
      <c r="Q7" s="131"/>
      <c r="R7" s="71"/>
      <c r="S7" s="43" t="s">
        <v>6</v>
      </c>
      <c r="T7" s="115"/>
      <c r="U7" s="70"/>
      <c r="V7" s="2"/>
      <c r="W7" s="2"/>
      <c r="X7" s="150" t="s">
        <v>1839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9" t="s">
        <v>1836</v>
      </c>
      <c r="E8" s="159"/>
      <c r="F8" s="159"/>
      <c r="G8" s="70"/>
      <c r="H8" s="41"/>
      <c r="I8" s="137"/>
      <c r="J8" s="161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1840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9" t="s">
        <v>1837</v>
      </c>
      <c r="E9" s="159"/>
      <c r="F9" s="159"/>
      <c r="G9" s="70"/>
      <c r="H9" s="41"/>
      <c r="I9" s="137"/>
      <c r="J9" s="161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43283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/>
      <c r="F10" s="32"/>
      <c r="G10" s="70"/>
      <c r="H10" s="41"/>
      <c r="I10" s="163"/>
      <c r="J10" s="163"/>
      <c r="K10" s="163"/>
      <c r="L10" s="163"/>
      <c r="M10" s="163"/>
      <c r="N10" s="126"/>
      <c r="O10" s="163"/>
      <c r="P10" s="16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0"/>
      <c r="E11" s="171"/>
      <c r="F11" s="172"/>
      <c r="G11" s="53"/>
      <c r="H11" s="41"/>
      <c r="I11" s="163"/>
      <c r="J11" s="163"/>
      <c r="K11" s="163"/>
      <c r="L11" s="163"/>
      <c r="M11" s="163"/>
      <c r="N11" s="126"/>
      <c r="O11" s="163"/>
      <c r="P11" s="16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5" t="s">
        <v>5</v>
      </c>
      <c r="J13" s="165"/>
      <c r="K13" s="165"/>
      <c r="L13" s="165"/>
      <c r="M13" s="165"/>
      <c r="N13" s="165"/>
      <c r="O13" s="165"/>
      <c r="P13" s="165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9" t="s">
        <v>1835</v>
      </c>
      <c r="E14" s="159"/>
      <c r="F14" s="159"/>
      <c r="G14" s="70"/>
      <c r="H14" s="41"/>
      <c r="I14" s="163"/>
      <c r="J14" s="163"/>
      <c r="K14" s="163"/>
      <c r="L14" s="163"/>
      <c r="M14" s="163"/>
      <c r="N14" s="163"/>
      <c r="O14" s="163"/>
      <c r="P14" s="16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3"/>
      <c r="J15" s="163"/>
      <c r="K15" s="163"/>
      <c r="L15" s="163"/>
      <c r="M15" s="163"/>
      <c r="N15" s="163"/>
      <c r="O15" s="163"/>
      <c r="P15" s="16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6" t="s">
        <v>11</v>
      </c>
      <c r="D18" s="168" t="s">
        <v>9</v>
      </c>
      <c r="E18" s="166" t="s">
        <v>10</v>
      </c>
      <c r="F18" s="184" t="s">
        <v>1825</v>
      </c>
      <c r="G18" s="185"/>
      <c r="H18" s="185"/>
      <c r="I18" s="185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  <c r="AA18" s="185"/>
      <c r="AB18" s="185"/>
      <c r="AC18" s="185"/>
      <c r="AD18" s="185"/>
      <c r="AE18" s="185"/>
      <c r="AF18" s="185"/>
      <c r="AG18" s="185"/>
      <c r="AH18" s="185"/>
      <c r="AI18" s="186"/>
      <c r="AJ18" s="2"/>
      <c r="AK18" s="2"/>
    </row>
    <row r="19" spans="1:37" ht="46.5" customHeight="1" thickBot="1" x14ac:dyDescent="0.3">
      <c r="A19" s="2"/>
      <c r="B19" s="2"/>
      <c r="C19" s="167"/>
      <c r="D19" s="169"/>
      <c r="E19" s="167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79" t="s">
        <v>14</v>
      </c>
      <c r="AE19" s="180"/>
      <c r="AF19" s="180"/>
      <c r="AG19" s="180"/>
      <c r="AH19" s="180"/>
      <c r="AI19" s="181"/>
      <c r="AJ19" s="2"/>
      <c r="AK19" s="2"/>
    </row>
    <row r="20" spans="1:37" ht="15.75" thickBot="1" x14ac:dyDescent="0.3">
      <c r="A20" s="2"/>
      <c r="B20" s="2"/>
      <c r="C20" s="167"/>
      <c r="D20" s="169"/>
      <c r="E20" s="167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1841</v>
      </c>
      <c r="E22" s="92" t="s">
        <v>1843</v>
      </c>
      <c r="F22" s="96">
        <v>20</v>
      </c>
      <c r="G22" s="96">
        <v>1935</v>
      </c>
      <c r="H22" s="94">
        <v>70009.990000000005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2" t="str">
        <f>IF(ISERROR(VLOOKUP(D23,Sheet3!$A$2:$B$821,2,FALSE)),"",(VLOOKUP(D23,Sheet3!$A$2:$B$821,2,FALSE)))</f>
        <v>47-2221</v>
      </c>
      <c r="F23" s="96">
        <v>15</v>
      </c>
      <c r="G23" s="187">
        <v>1171.5</v>
      </c>
      <c r="H23" s="94">
        <v>38343.879999999997</v>
      </c>
      <c r="I23" s="96"/>
      <c r="J23" s="96"/>
      <c r="K23" s="94"/>
      <c r="L23" s="97">
        <v>1</v>
      </c>
      <c r="M23" s="97">
        <v>24</v>
      </c>
      <c r="N23" s="116">
        <v>696</v>
      </c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 t="s">
        <v>319</v>
      </c>
      <c r="D24" s="33" t="s">
        <v>1844</v>
      </c>
      <c r="E24" s="92" t="str">
        <f>IF(ISERROR(VLOOKUP(D24,Sheet3!$A$2:$B$821,2,FALSE)),"",(VLOOKUP(D24,Sheet3!$A$2:$B$821,2,FALSE)))</f>
        <v>47-2031</v>
      </c>
      <c r="F24" s="96">
        <v>2</v>
      </c>
      <c r="G24" s="187">
        <v>239.5</v>
      </c>
      <c r="H24" s="94">
        <v>7555.62</v>
      </c>
      <c r="I24" s="96"/>
      <c r="J24" s="96"/>
      <c r="K24" s="94"/>
      <c r="L24" s="97">
        <v>1</v>
      </c>
      <c r="M24" s="97">
        <v>116</v>
      </c>
      <c r="N24" s="116">
        <v>1791.77</v>
      </c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2"/>
      <c r="T38" s="182"/>
      <c r="U38" s="183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37</v>
      </c>
      <c r="G39" s="95">
        <f>SUM(G22:G37)</f>
        <v>3346</v>
      </c>
      <c r="H39" s="113">
        <f>SUM(H22:H37)</f>
        <v>115909.48999999999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2</v>
      </c>
      <c r="M39" s="95">
        <f t="shared" si="0"/>
        <v>140</v>
      </c>
      <c r="N39" s="113">
        <f>SUM(N22:N37)</f>
        <v>2487.77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4"/>
      <c r="D42" s="164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3" t="s">
        <v>1829</v>
      </c>
      <c r="D43" s="174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5"/>
      <c r="D44" s="176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5"/>
      <c r="D45" s="176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5"/>
      <c r="D46" s="176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7"/>
      <c r="D47" s="178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466725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95250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Valerie Lapp</cp:lastModifiedBy>
  <cp:lastPrinted>2018-07-02T18:40:56Z</cp:lastPrinted>
  <dcterms:created xsi:type="dcterms:W3CDTF">2016-01-07T15:16:02Z</dcterms:created>
  <dcterms:modified xsi:type="dcterms:W3CDTF">2018-07-10T14:31:08Z</dcterms:modified>
</cp:coreProperties>
</file>