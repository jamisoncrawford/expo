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1230" yWindow="1110" windowWidth="26580" windowHeight="16440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'!$C$1:$AI$51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<sst xmlns="http://schemas.openxmlformats.org/spreadsheetml/2006/main" count="2105" uniqueCount="1845">
  <si>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</si>
  <si>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</si>
  <si>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</si>
  <si>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</si>
  <si>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</si>
  <si>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</si>
  <si>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</si>
  <si>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</si>
  <si>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</si>
  <si>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</si>
  <si>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</si>
  <si>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</si>
  <si>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</si>
  <si>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</si>
  <si>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</si>
  <si>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</si>
  <si>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</si>
  <si>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</si>
  <si>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</si>
  <si>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</si>
  <si>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</si>
  <si>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</si>
  <si>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</si>
  <si>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</si>
  <si>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</si>
  <si>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</si>
  <si>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</si>
  <si>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</si>
  <si>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</si>
  <si>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</si>
  <si>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</si>
  <si>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</si>
  <si>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</si>
  <si>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</si>
  <si>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</si>
  <si>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</si>
  <si>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</si>
  <si>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</si>
  <si>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</si>
  <si>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</si>
  <si>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</si>
  <si>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</si>
  <si>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</si>
  <si>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</si>
  <si>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</si>
  <si>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</si>
  <si>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</si>
  <si>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</si>
  <si>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</si>
  <si>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</si>
  <si>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</si>
  <si>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</si>
  <si>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</si>
  <si>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</si>
  <si>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</si>
  <si>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</si>
  <si>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</si>
  <si>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</si>
  <si>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</si>
  <si>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</si>
  <si>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</si>
  <si>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</si>
  <si>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</si>
  <si>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</si>
  <si>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</si>
  <si>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</si>
  <si>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</si>
  <si>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</si>
  <si>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</si>
  <si>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</si>
  <si>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</si>
  <si>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</si>
  <si>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</si>
  <si>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</si>
  <si>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</si>
  <si>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</si>
  <si>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</si>
  <si>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</si>
  <si>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</si>
  <si>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</si>
  <si>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</si>
  <si>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</si>
  <si>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</si>
  <si>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</si>
  <si>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</si>
  <si>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</si>
  <si>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</si>
  <si>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</si>
  <si>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</si>
  <si>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</si>
  <si>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</si>
  <si>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</si>
  <si>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</si>
  <si>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</si>
  <si>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</si>
  <si>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</si>
  <si>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</si>
  <si>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</si>
  <si>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</si>
  <si>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</si>
  <si>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</si>
  <si>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</si>
  <si>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</si>
  <si>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</si>
  <si>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</si>
  <si>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</si>
  <si>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</si>
  <si>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</si>
  <si>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</si>
  <si>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</si>
  <si>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</si>
  <si>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</si>
  <si>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</si>
  <si>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</si>
  <si>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</si>
  <si>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</si>
  <si>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</si>
  <si>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</si>
  <si>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</si>
  <si>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</si>
  <si>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</si>
  <si>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</si>
  <si>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</si>
  <si>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</si>
  <si>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</si>
  <si>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</si>
  <si>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</si>
  <si>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</si>
  <si>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</si>
  <si>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</si>
  <si>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</si>
  <si>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</si>
  <si>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</si>
  <si>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</si>
  <si>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</si>
  <si>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</si>
  <si>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</si>
  <si>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</si>
  <si>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</si>
  <si>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</si>
  <si>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</si>
  <si>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</si>
  <si>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</si>
  <si>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</si>
  <si>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</si>
  <si>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</si>
  <si>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</si>
  <si>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</si>
  <si>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</si>
  <si>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</si>
  <si>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</si>
  <si>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</si>
  <si>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</si>
  <si>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</si>
  <si>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</si>
  <si>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</si>
  <si>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</si>
  <si>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</si>
  <si>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</si>
  <si>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</si>
  <si>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</si>
  <si>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</si>
  <si>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</si>
  <si>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</si>
  <si>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</si>
  <si>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</si>
  <si>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</si>
  <si>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</si>
  <si>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</si>
  <si>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</si>
  <si>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</si>
  <si>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</si>
  <si>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</si>
  <si>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</si>
  <si>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</si>
  <si>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</si>
  <si>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</si>
  <si>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</si>
  <si>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</si>
  <si>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</si>
  <si>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</si>
  <si>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</si>
  <si>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</si>
  <si>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</si>
  <si>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</si>
  <si>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</si>
  <si>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</si>
  <si>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</si>
  <si>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</si>
  <si>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</si>
  <si>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</si>
  <si>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</si>
  <si>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</si>
  <si>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</si>
  <si>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</si>
  <si>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</si>
  <si>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</si>
  <si>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</si>
  <si>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</si>
  <si>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</si>
  <si>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</si>
  <si>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</si>
  <si>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</si>
  <si>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</si>
  <si>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</si>
  <si>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</si>
  <si>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</si>
  <si>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</si>
  <si>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</si>
  <si>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</si>
  <si>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</si>
  <si>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</si>
  <si>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</si>
  <si>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</si>
  <si>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</si>
  <si>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</si>
  <si>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</si>
  <si>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</si>
  <si>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</si>
  <si>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</si>
  <si>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</si>
  <si>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</si>
  <si>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</si>
  <si>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</si>
  <si>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</si>
  <si>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</si>
  <si>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</si>
  <si>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</si>
  <si>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</si>
  <si>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</si>
  <si>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</si>
  <si>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</si>
  <si>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</si>
  <si>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</si>
  <si>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</si>
  <si>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</si>
  <si>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</si>
  <si>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</si>
  <si>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</si>
  <si>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</si>
  <si>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</si>
  <si>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</si>
  <si>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</si>
  <si>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</si>
  <si>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</si>
  <si>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</si>
  <si>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</si>
  <si>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</si>
  <si>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</si>
  <si>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</si>
  <si>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</si>
  <si>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</si>
  <si>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</si>
  <si>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</si>
  <si>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</si>
  <si>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</si>
  <si>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</si>
  <si>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</si>
  <si>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</si>
  <si>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</si>
  <si>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</si>
  <si>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</si>
  <si>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</si>
  <si>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</si>
  <si>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</si>
  <si>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</si>
  <si>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</si>
  <si>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</si>
  <si>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</si>
  <si>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</si>
  <si>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</si>
  <si>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</si>
  <si>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</si>
  <si>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</si>
  <si>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</si>
  <si>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</si>
  <si>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</si>
  <si>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</si>
  <si>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</si>
  <si>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</si>
  <si>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</si>
  <si>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</si>
  <si>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</si>
  <si>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</si>
  <si>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</si>
  <si>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</si>
  <si>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</si>
  <si>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</si>
  <si>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</si>
  <si>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</si>
  <si>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</si>
  <si>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</si>
  <si>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</si>
  <si>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</si>
  <si>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</si>
  <si>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</si>
  <si>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</si>
  <si>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</si>
  <si>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</si>
  <si>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</si>
  <si>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</si>
  <si>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</si>
  <si>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</si>
  <si>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</si>
  <si>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</si>
  <si>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</si>
  <si>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</si>
  <si>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</si>
  <si>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</si>
  <si>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</si>
  <si>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</si>
  <si>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</si>
  <si>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</si>
  <si>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</si>
  <si>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</si>
  <si>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</si>
  <si>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</si>
  <si>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</si>
  <si>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</si>
  <si>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</si>
  <si>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</si>
  <si>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</si>
  <si>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</si>
  <si>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</si>
  <si>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</si>
  <si>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</si>
  <si>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</si>
  <si>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</si>
  <si>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</si>
  <si>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</si>
  <si>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</si>
  <si>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</si>
  <si>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</si>
  <si>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</si>
  <si>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</si>
  <si>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</si>
  <si>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</si>
  <si>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</si>
  <si>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</si>
  <si>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</si>
  <si>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</si>
  <si>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</si>
  <si>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</si>
  <si>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</si>
  <si>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</si>
  <si>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</si>
  <si>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</si>
  <si>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</si>
  <si>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</si>
  <si>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</si>
  <si>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</si>
  <si>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</si>
  <si>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</si>
  <si>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</si>
  <si>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</si>
  <si>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</si>
  <si>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</si>
  <si>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</si>
  <si>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</si>
  <si>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</si>
  <si>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</si>
  <si>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</si>
  <si>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</si>
  <si>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</si>
  <si>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</si>
  <si>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</si>
  <si>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</si>
  <si>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</si>
  <si>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</si>
  <si>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</si>
  <si>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</si>
  <si>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</si>
  <si>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</si>
  <si>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</si>
  <si>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</si>
  <si>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</si>
  <si>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</si>
  <si>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</si>
  <si>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</si>
  <si>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</si>
  <si>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</si>
  <si>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</si>
  <si>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</si>
  <si>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</si>
  <si>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</si>
  <si>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</si>
  <si>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</si>
  <si>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</si>
  <si>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</si>
  <si>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</si>
  <si>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</si>
  <si>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</si>
  <si>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</si>
  <si>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</si>
  <si>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</si>
  <si>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</si>
  <si>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</si>
  <si>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</si>
  <si>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</si>
  <si>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</si>
  <si>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</si>
  <si>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</si>
  <si>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</si>
  <si>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</si>
  <si>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</si>
  <si>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</si>
  <si>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</si>
  <si>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</si>
  <si>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</si>
  <si>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</si>
  <si>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</si>
  <si>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</si>
  <si>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</si>
  <si>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</si>
  <si>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</si>
  <si>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</si>
  <si>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</si>
  <si>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</si>
  <si>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</si>
  <si>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</si>
  <si>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</si>
  <si>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</si>
  <si>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</si>
  <si>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</si>
  <si>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</si>
  <si>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</si>
  <si>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</si>
  <si>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</si>
  <si>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</si>
  <si>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</si>
  <si>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</si>
  <si>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</si>
  <si>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</si>
  <si>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</si>
  <si>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</si>
  <si>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</si>
  <si>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</si>
  <si>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</si>
  <si>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</si>
  <si>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</si>
  <si>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</si>
  <si>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</si>
  <si>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</si>
  <si>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</si>
  <si>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</si>
  <si>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</si>
  <si>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</si>
  <si>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</si>
  <si>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</si>
  <si>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</si>
  <si>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</si>
  <si>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</si>
  <si>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</si>
  <si>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</si>
  <si>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</si>
  <si>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</si>
  <si>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</si>
  <si>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</si>
  <si>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</si>
  <si>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</si>
  <si>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</si>
  <si>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</si>
  <si>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</si>
  <si>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</si>
  <si>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</si>
  <si>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</si>
  <si>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</si>
  <si>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</si>
  <si>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</si>
  <si>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</si>
  <si>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</si>
  <si>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</si>
  <si>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</si>
  <si>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</si>
  <si>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</si>
  <si>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</si>
  <si>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</si>
  <si>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</si>
  <si>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</si>
  <si>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</si>
  <si>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</si>
  <si>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</si>
  <si>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</si>
  <si>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</si>
  <si>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</si>
  <si>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</si>
  <si>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</si>
  <si>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</si>
  <si>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</si>
  <si>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</si>
  <si>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</si>
  <si>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</si>
  <si>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</si>
  <si>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</si>
  <si>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</si>
  <si>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</si>
  <si>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</si>
  <si>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</si>
  <si>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</si>
  <si>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</si>
  <si>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</si>
  <si>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</si>
  <si>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</si>
  <si>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</si>
  <si>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</si>
  <si>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</si>
  <si>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</si>
  <si>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</si>
  <si>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</si>
  <si>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</si>
  <si>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</si>
  <si>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</si>
  <si>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</si>
  <si>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</si>
  <si>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</si>
  <si>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</si>
  <si>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</si>
  <si>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</si>
  <si>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</si>
  <si>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</si>
  <si>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</si>
  <si>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</si>
  <si>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</si>
  <si>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</si>
  <si>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</si>
  <si>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</si>
  <si>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</si>
  <si>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</si>
  <si>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</si>
  <si>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</si>
  <si>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</si>
  <si>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</si>
  <si>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</si>
  <si>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</si>
  <si>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</si>
  <si>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</si>
  <si>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</si>
  <si>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</si>
  <si>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</si>
  <si>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</si>
  <si>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</si>
  <si>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</si>
  <si>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</si>
  <si>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</si>
  <si>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</si>
  <si>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</si>
  <si>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</si>
  <si>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</si>
  <si>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</si>
  <si>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</si>
  <si>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</si>
  <si>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</si>
  <si>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</si>
  <si>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</si>
  <si>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</si>
  <si>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</si>
  <si>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</si>
  <si>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</si>
  <si>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</si>
  <si>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</si>
  <si>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</si>
  <si>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</si>
  <si>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</si>
  <si>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</si>
  <si>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</si>
  <si>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</si>
  <si>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</si>
  <si>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</si>
  <si>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</si>
  <si>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</si>
  <si>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</si>
  <si>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</si>
  <si>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</si>
  <si>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</si>
  <si>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</si>
  <si>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</si>
  <si>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</si>
  <si>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</si>
  <si>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</si>
  <si>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</si>
  <si>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</si>
  <si>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</si>
  <si>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</si>
  <si>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</si>
  <si>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</si>
  <si>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</si>
  <si>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</si>
  <si>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</si>
  <si>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</si>
  <si>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</si>
  <si>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</si>
  <si>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</si>
  <si>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</si>
  <si>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</si>
  <si>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</si>
  <si>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</si>
  <si>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</si>
  <si>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</si>
  <si>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</si>
  <si>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</si>
  <si>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</si>
  <si>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</si>
  <si>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</si>
  <si>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</si>
  <si>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</si>
  <si>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</si>
  <si>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</si>
  <si>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</si>
  <si>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</si>
  <si>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</si>
  <si>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</si>
  <si>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</si>
  <si>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</si>
  <si>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</si>
  <si>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</si>
  <si>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</si>
  <si>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</si>
  <si>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</si>
  <si>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</si>
  <si>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</si>
  <si>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</si>
  <si>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</si>
  <si>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</si>
  <si>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</si>
  <si>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</si>
  <si>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</si>
  <si>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</si>
  <si>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</si>
  <si>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</si>
  <si>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</si>
  <si>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</si>
  <si>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</si>
  <si>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</si>
  <si>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</si>
  <si>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</si>
  <si>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</si>
  <si>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</si>
  <si>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</si>
  <si>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</si>
  <si>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</si>
  <si>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</si>
  <si>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</si>
  <si>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</si>
  <si>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</si>
  <si>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</si>
  <si>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</si>
  <si>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</si>
  <si>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</si>
  <si>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</si>
  <si>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</si>
  <si>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</si>
  <si>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</si>
  <si>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</si>
  <si>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</si>
  <si>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</si>
  <si>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</si>
  <si>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</si>
  <si>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</si>
  <si>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</si>
  <si>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</si>
  <si>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</si>
  <si>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</si>
  <si>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</si>
  <si>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</si>
  <si>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</si>
  <si>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</si>
  <si>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</si>
  <si>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</si>
  <si>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</si>
  <si>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</si>
  <si>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</si>
  <si>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</si>
  <si>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</si>
  <si>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</si>
  <si>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</si>
  <si>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</si>
  <si>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</si>
  <si>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</si>
  <si>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</si>
  <si>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</si>
  <si>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</si>
  <si>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</si>
  <si>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</si>
  <si>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</si>
  <si>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</si>
  <si>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</si>
  <si>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</si>
  <si>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</si>
  <si>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</si>
  <si>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</si>
  <si>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</si>
  <si>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</si>
  <si>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</si>
  <si>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</si>
  <si>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</si>
  <si>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</si>
  <si>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</si>
  <si>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</si>
  <si>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</si>
  <si>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</si>
  <si>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</si>
  <si>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</si>
  <si>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</si>
  <si>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</si>
  <si>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</si>
  <si>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</si>
  <si>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</si>
  <si>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</si>
  <si>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</si>
  <si>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</si>
  <si>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</si>
  <si>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</si>
  <si>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</si>
  <si>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</si>
  <si>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</si>
  <si>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</si>
  <si>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</si>
  <si>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</si>
  <si>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</si>
  <si>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</si>
  <si>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</si>
  <si>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</si>
  <si>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</si>
  <si>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</si>
  <si>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</si>
  <si>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</si>
  <si>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</si>
  <si>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</si>
  <si>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</si>
  <si>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</si>
  <si>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</si>
  <si>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</si>
  <si>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</si>
  <si>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</si>
  <si>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</si>
  <si>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</si>
  <si>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</si>
  <si>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</si>
  <si>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</si>
  <si>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</si>
  <si>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</si>
  <si>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</si>
  <si>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</si>
  <si>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</si>
  <si>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</si>
  <si>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</si>
  <si>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</si>
  <si>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</si>
  <si>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</si>
  <si>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</si>
  <si>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</si>
  <si>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</si>
  <si>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</si>
  <si>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</si>
  <si>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</si>
  <si>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</si>
  <si>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</si>
  <si>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</si>
  <si>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</si>
  <si>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</si>
  <si>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</si>
  <si>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</si>
  <si>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</si>
  <si>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</si>
  <si>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</si>
  <si>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</si>
  <si>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</si>
  <si>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</si>
  <si>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</si>
  <si>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</si>
  <si>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</si>
  <si>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</si>
  <si>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</si>
  <si>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</si>
  <si>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</si>
  <si>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</si>
  <si>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</si>
  <si>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</si>
  <si>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</si>
  <si>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</si>
  <si>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</si>
  <si>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</si>
  <si>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</si>
  <si>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</si>
  <si>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</si>
  <si>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</si>
  <si>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</si>
  <si>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</si>
  <si>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</si>
  <si>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</si>
  <si>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</si>
  <si>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</si>
  <si>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</si>
  <si>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</si>
  <si>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</si>
  <si>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</si>
  <si>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</si>
  <si>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</si>
  <si>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</si>
  <si>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</si>
  <si>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</si>
  <si>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</si>
  <si>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</si>
  <si>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</si>
  <si>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</si>
  <si>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</si>
  <si>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</si>
  <si>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</si>
  <si>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</si>
  <si>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</si>
  <si>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</si>
  <si>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</si>
  <si>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</si>
  <si>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</si>
  <si>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</si>
  <si>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</si>
  <si>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</si>
  <si>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</si>
  <si>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</si>
  <si>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</si>
  <si>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</si>
  <si>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</si>
  <si>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</si>
  <si>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</si>
  <si>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</si>
  <si>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</si>
  <si>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</si>
  <si>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</si>
  <si>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</si>
  <si>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</si>
  <si>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</si>
  <si>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</si>
  <si>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</si>
  <si>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</si>
  <si>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</si>
  <si>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</si>
  <si>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</si>
  <si>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</si>
  <si>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</si>
  <si>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</si>
  <si>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</si>
  <si>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</si>
  <si>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</si>
  <si>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</si>
  <si>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</si>
  <si>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</si>
  <si>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</si>
  <si>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</si>
  <si>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</si>
  <si>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</si>
  <si>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</si>
  <si>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</si>
  <si>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</si>
  <si>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</si>
  <si>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</si>
  <si>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</si>
  <si>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</si>
  <si>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</si>
  <si>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</si>
  <si>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</si>
  <si>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</si>
  <si>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</si>
  <si>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</si>
  <si>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</si>
  <si>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</si>
  <si>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</si>
  <si>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</si>
  <si>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</si>
  <si>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</si>
  <si>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</si>
  <si>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</si>
  <si>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</si>
  <si>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</si>
  <si>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</si>
  <si>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</si>
  <si>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</si>
  <si>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</si>
  <si>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</si>
  <si>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</si>
  <si>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</si>
  <si>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</si>
  <si>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</si>
  <si>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</si>
  <si>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</si>
  <si>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</si>
  <si>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</si>
  <si>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</si>
  <si>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</si>
  <si>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</si>
  <si>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</si>
  <si>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</si>
  <si>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</si>
  <si>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</si>
  <si>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</si>
  <si>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</si>
  <si>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</si>
  <si>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</si>
  <si>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</si>
  <si>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</si>
  <si>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</si>
  <si>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</si>
  <si>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</si>
  <si>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</si>
  <si>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</si>
  <si>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</si>
  <si>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</si>
  <si>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</si>
  <si>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</si>
  <si>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</si>
  <si>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</si>
  <si>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</si>
  <si>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</si>
  <si>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</si>
  <si>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</si>
  <si>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</si>
  <si>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</si>
  <si>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</si>
  <si>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</si>
  <si>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</si>
  <si>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</si>
  <si>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</si>
  <si>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</si>
  <si>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</si>
  <si>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</si>
  <si>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</si>
  <si>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</si>
  <si>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</si>
  <si>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</si>
  <si>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</si>
  <si>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</si>
  <si>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</si>
  <si>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</si>
  <si>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</si>
  <si>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</si>
  <si>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</si>
  <si>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</si>
  <si>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</si>
  <si>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</si>
  <si>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</si>
  <si>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</si>
  <si>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</si>
  <si>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</si>
  <si>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</si>
  <si>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</si>
  <si>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</si>
  <si>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</si>
  <si>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</si>
  <si>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</si>
  <si>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</si>
  <si>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</si>
  <si>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</si>
  <si>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</si>
  <si>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</si>
  <si>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</si>
  <si>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</si>
  <si>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</si>
  <si>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</si>
  <si>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</si>
  <si>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</si>
  <si>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</si>
  <si>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</si>
  <si>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</si>
  <si>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</si>
  <si>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</si>
  <si>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</si>
  <si>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</si>
  <si>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</si>
  <si>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</si>
  <si>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</si>
  <si>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</si>
  <si>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</si>
  <si>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</si>
  <si>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</si>
  <si>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</si>
  <si>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</si>
  <si>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</si>
  <si>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</si>
  <si>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</si>
  <si>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</si>
  <si>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</si>
  <si>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</si>
  <si>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</si>
  <si>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</si>
  <si>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</si>
  <si>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</si>
  <si>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</si>
  <si>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</si>
  <si>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</si>
  <si>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</si>
  <si>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</si>
  <si>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</si>
  <si>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</si>
  <si>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</si>
  <si>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</si>
  <si>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</si>
  <si>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</si>
  <si>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</si>
  <si>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</si>
  <si>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</si>
  <si>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</si>
  <si>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</si>
  <si>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</si>
  <si>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</si>
  <si>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</si>
  <si>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</si>
  <si>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</si>
  <si>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</si>
  <si>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</si>
  <si>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</si>
  <si>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</si>
  <si>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</si>
  <si>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</si>
  <si>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</si>
  <si>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</si>
  <si>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</si>
  <si>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</si>
  <si>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</si>
  <si>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</si>
  <si>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</si>
  <si>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</si>
  <si>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</si>
  <si>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</si>
  <si>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</si>
  <si>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</si>
  <si>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</si>
  <si>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</si>
  <si>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</si>
  <si>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</si>
  <si>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</si>
  <si>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</si>
  <si>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</si>
  <si>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</si>
  <si>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</si>
  <si>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</si>
  <si>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</si>
  <si>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</si>
  <si>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</si>
  <si>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</si>
  <si>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</si>
  <si>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</si>
  <si>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</si>
  <si>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</si>
  <si>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</si>
  <si>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</si>
  <si>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</si>
  <si>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</si>
  <si>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</si>
  <si>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</si>
  <si>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</si>
  <si>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</si>
  <si>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</si>
  <si>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</si>
  <si>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</si>
  <si>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</si>
  <si>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</si>
  <si>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</si>
  <si>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</si>
  <si>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</si>
  <si>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</si>
  <si>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</si>
  <si>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</si>
  <si>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</si>
  <si>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</si>
  <si>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</si>
  <si>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</si>
  <si>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</si>
  <si>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</si>
  <si>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</si>
  <si>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</si>
  <si>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</si>
  <si>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</si>
  <si>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</si>
  <si>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</si>
  <si>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</si>
  <si>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</si>
  <si>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</si>
  <si>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</si>
  <si>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</si>
  <si>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</si>
  <si>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</si>
  <si>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</si>
  <si>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</si>
  <si>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</si>
  <si>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</si>
  <si>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</si>
  <si>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</si>
  <si>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</si>
  <si>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</si>
  <si>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</si>
  <si>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</si>
  <si>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</si>
  <si>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</si>
  <si>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</si>
  <si>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</si>
  <si>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</si>
  <si>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</si>
  <si>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</si>
  <si>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</si>
  <si>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</si>
  <si>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</si>
  <si>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</si>
  <si>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</si>
  <si>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</si>
  <si>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</si>
  <si>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</si>
  <si>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</si>
  <si>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</si>
  <si>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</si>
  <si>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</si>
  <si>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</si>
  <si>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</si>
  <si>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</si>
  <si>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</si>
  <si>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</si>
  <si>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</si>
  <si>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</si>
  <si>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</si>
  <si>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</si>
  <si>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</si>
  <si>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</si>
  <si>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</si>
  <si>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</si>
  <si>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</si>
  <si>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</si>
  <si>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</si>
  <si>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</si>
  <si>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</si>
  <si>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</si>
  <si>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</si>
  <si>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</si>
  <si>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</si>
  <si>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</si>
  <si>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</si>
  <si>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</si>
  <si>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</si>
  <si>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</si>
  <si>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</si>
  <si>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</si>
  <si>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</si>
  <si>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</si>
  <si>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</si>
  <si>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</si>
  <si>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</si>
  <si>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</si>
  <si>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</si>
  <si>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</si>
  <si>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</si>
  <si>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</si>
  <si>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</si>
  <si>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</si>
  <si>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</si>
  <si>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</si>
  <si>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</si>
  <si>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</si>
  <si>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</si>
  <si>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</si>
  <si>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</si>
  <si>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</si>
  <si>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</si>
  <si>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</si>
  <si>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</si>
  <si>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</si>
  <si>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</si>
  <si>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</si>
  <si>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</si>
  <si>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</si>
  <si>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</si>
  <si>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</si>
  <si>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</si>
  <si>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</si>
  <si>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</si>
  <si>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</si>
  <si>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</si>
  <si>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</si>
  <si>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</si>
  <si>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</si>
  <si>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</si>
  <si>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</si>
  <si>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</si>
  <si>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</si>
  <si>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</si>
  <si>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</si>
  <si>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</si>
  <si>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</si>
  <si>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</si>
  <si>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</si>
  <si>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</si>
  <si>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</si>
  <si>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</si>
  <si>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</si>
  <si>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</si>
  <si>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</si>
  <si>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</si>
  <si>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</si>
  <si>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</si>
  <si>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</si>
  <si>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</si>
  <si>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</si>
  <si>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</si>
  <si>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</si>
  <si>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</si>
  <si>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</si>
  <si>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</si>
  <si>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</si>
  <si>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</si>
  <si>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</si>
  <si>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</si>
  <si>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</si>
  <si>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</si>
  <si>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</si>
  <si>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</si>
  <si>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</si>
  <si>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</si>
  <si>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</si>
  <si>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</si>
  <si>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</si>
  <si>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</si>
  <si>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</si>
  <si>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</si>
  <si>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</si>
  <si>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</si>
  <si>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</si>
  <si>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</si>
  <si>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</si>
  <si>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</si>
  <si>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</si>
  <si>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</si>
  <si>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</si>
  <si>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</si>
  <si>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</si>
  <si>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</si>
  <si>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</si>
  <si>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</si>
  <si>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</si>
  <si>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</si>
  <si>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</si>
  <si>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</si>
  <si>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</si>
  <si>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</si>
  <si>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</si>
  <si>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</si>
  <si>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</si>
  <si>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</si>
  <si>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</si>
  <si>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</si>
  <si>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</si>
  <si>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</si>
  <si>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</si>
  <si>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</si>
  <si>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</si>
  <si>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</si>
  <si>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</si>
  <si>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</si>
  <si>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</si>
  <si>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</si>
  <si>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</si>
  <si>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</si>
  <si>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</si>
  <si>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</si>
  <si>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</si>
  <si>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</si>
  <si>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</si>
  <si>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</si>
  <si>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</si>
  <si>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</si>
  <si>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</si>
  <si>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</si>
  <si>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</si>
  <si>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</si>
  <si>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</si>
  <si>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</si>
  <si>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</si>
  <si>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</si>
  <si>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</si>
  <si>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</si>
  <si>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</si>
  <si>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</si>
  <si>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</si>
  <si>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</si>
  <si>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</si>
  <si>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</si>
  <si>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</si>
  <si>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</si>
  <si>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</si>
  <si>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</si>
  <si>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</si>
  <si>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</si>
  <si>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</si>
  <si>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</si>
  <si>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</si>
  <si>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</si>
  <si>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</si>
  <si>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</si>
  <si>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</si>
  <si>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</si>
  <si>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</si>
  <si>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</si>
  <si>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</si>
  <si>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</si>
  <si>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</si>
  <si>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</si>
  <si>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</si>
  <si>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</si>
  <si>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</si>
  <si>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</si>
  <si>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</si>
  <si>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</si>
  <si>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</si>
  <si>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</si>
  <si>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</si>
  <si>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</si>
  <si>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</si>
  <si>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</si>
  <si>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</si>
  <si>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</si>
  <si>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</si>
  <si>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</si>
  <si>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</si>
  <si>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</si>
  <si>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</si>
  <si>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</si>
  <si>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</si>
  <si>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</si>
  <si>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</si>
  <si>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</si>
  <si>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</si>
  <si>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</si>
  <si>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</si>
  <si>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</si>
  <si>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</si>
  <si>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</si>
  <si>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</si>
  <si>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</si>
  <si>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</si>
  <si>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</si>
  <si>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</si>
  <si>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</si>
  <si>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</si>
  <si>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</si>
  <si>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</si>
  <si>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</si>
  <si>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</si>
  <si>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</si>
  <si>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</si>
  <si>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</si>
  <si>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</si>
  <si>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</si>
  <si>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</si>
  <si>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</si>
  <si>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</si>
  <si>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</si>
  <si>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</si>
  <si>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</si>
  <si>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</si>
  <si>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</si>
  <si>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</si>
  <si>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</si>
  <si>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</si>
  <si>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</si>
  <si>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</si>
  <si>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</si>
  <si>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</si>
  <si>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</si>
  <si>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</si>
  <si>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</si>
  <si>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</si>
  <si>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</si>
  <si>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</si>
  <si>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</si>
  <si>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</si>
  <si>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</si>
  <si>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</si>
  <si>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</si>
  <si>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</si>
  <si>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</si>
  <si>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</si>
  <si>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</si>
  <si>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</si>
  <si>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</si>
  <si>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</si>
  <si>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</si>
  <si>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</si>
  <si>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</si>
  <si>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</si>
  <si>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</si>
  <si>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</si>
  <si>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</si>
  <si>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</si>
  <si>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</si>
  <si>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</si>
  <si>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</si>
  <si>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</si>
  <si>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</si>
  <si>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</si>
  <si>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</si>
  <si>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</si>
  <si>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</si>
  <si>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</si>
  <si>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</si>
  <si>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</si>
  <si>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</si>
  <si>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</si>
  <si>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</si>
  <si>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</si>
  <si>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</si>
  <si>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</si>
  <si>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</si>
  <si>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</si>
  <si>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</si>
  <si>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</si>
  <si>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</si>
  <si>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</si>
  <si>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</si>
  <si>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</si>
  <si>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</si>
  <si>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</si>
  <si>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</si>
  <si>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</si>
  <si>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</si>
  <si>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</si>
  <si>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</si>
  <si>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</si>
  <si>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</si>
  <si>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</si>
  <si>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</si>
  <si>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</si>
  <si>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</si>
  <si>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</si>
  <si>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</si>
  <si>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</si>
  <si>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</si>
  <si>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</si>
  <si>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</si>
  <si>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</si>
  <si>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</si>
  <si>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</si>
  <si>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</si>
  <si>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</si>
  <si>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</si>
  <si>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</si>
  <si>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</si>
  <si>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</si>
  <si>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</si>
  <si>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</si>
  <si>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</si>
  <si>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</si>
  <si>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</si>
  <si>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</si>
  <si>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</si>
  <si>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</si>
  <si>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</si>
  <si>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</si>
  <si>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</si>
  <si>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</si>
  <si>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</si>
  <si>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</si>
  <si>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</si>
  <si>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</si>
  <si>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</si>
  <si>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</si>
  <si>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</si>
  <si>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</si>
  <si>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</si>
  <si>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</si>
  <si>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</si>
  <si>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</si>
  <si>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</si>
  <si>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</si>
  <si>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</si>
  <si>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</si>
  <si>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</si>
  <si>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</si>
  <si>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</si>
  <si>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</si>
  <si>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</si>
  <si>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</si>
  <si>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</si>
  <si>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</si>
  <si>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</si>
  <si>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</si>
  <si>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</si>
  <si>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</si>
  <si>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</si>
  <si>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</si>
  <si>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</si>
  <si>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</si>
  <si>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</si>
  <si>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</si>
  <si>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</si>
  <si>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</si>
  <si>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</si>
  <si>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</si>
  <si>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</si>
  <si>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</si>
  <si>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</si>
  <si>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</si>
  <si>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</si>
  <si>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</si>
  <si>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</si>
  <si>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</si>
  <si>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</si>
  <si>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</si>
  <si>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</si>
  <si>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</si>
  <si>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</si>
  <si>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</si>
  <si>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</si>
  <si>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</si>
  <si>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</si>
  <si>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</si>
  <si>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</si>
  <si>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</si>
  <si>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</si>
  <si>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</si>
  <si>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</si>
  <si>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</si>
  <si>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</si>
  <si>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</si>
  <si>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</si>
  <si>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</si>
  <si>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</si>
  <si>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</si>
  <si>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</si>
  <si>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</si>
  <si>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</si>
  <si>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</si>
  <si>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</si>
  <si>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</si>
  <si>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</si>
  <si>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</si>
  <si>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</si>
  <si>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</si>
  <si>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</si>
  <si>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</si>
  <si>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</si>
  <si>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</si>
  <si>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</si>
  <si>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</si>
  <si>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</si>
  <si>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</si>
  <si>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</si>
  <si>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</si>
  <si>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</si>
  <si>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</si>
  <si>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</si>
  <si>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</si>
  <si>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</si>
  <si>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</si>
  <si>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</si>
  <si>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</si>
  <si>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</si>
  <si>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</si>
  <si>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</si>
  <si>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</si>
  <si>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</si>
  <si>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</si>
  <si>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</si>
  <si>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</si>
  <si>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</si>
  <si>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</si>
  <si>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</si>
  <si>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</si>
  <si>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</si>
  <si>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</si>
  <si>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</si>
  <si>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</si>
  <si>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</si>
  <si>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</si>
  <si>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</si>
  <si>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</si>
  <si>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</si>
  <si>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</si>
  <si>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</si>
  <si>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</si>
  <si>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</si>
  <si>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</si>
  <si>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</si>
  <si>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</si>
  <si>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</si>
  <si>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</si>
  <si>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</si>
  <si>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</si>
  <si>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</si>
  <si>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</si>
  <si>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</si>
  <si>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</si>
  <si>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</si>
  <si>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</si>
  <si>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</si>
  <si>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</si>
  <si>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</si>
  <si>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</si>
  <si>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</si>
  <si>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</si>
  <si>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</si>
  <si>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</si>
  <si>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</si>
  <si>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</si>
  <si>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</si>
  <si>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</si>
  <si>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</si>
  <si>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</si>
  <si>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</si>
  <si>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</si>
  <si>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</si>
  <si>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</si>
  <si>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</si>
  <si>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</si>
  <si>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</si>
  <si>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</si>
  <si>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</si>
  <si>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</si>
  <si>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</si>
  <si>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</si>
  <si>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</si>
  <si>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</si>
  <si>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</si>
  <si>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</si>
  <si>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</si>
  <si>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</si>
  <si>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</si>
  <si>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</si>
  <si>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</si>
  <si>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</si>
  <si>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</si>
  <si>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</si>
  <si>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</si>
  <si>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</si>
  <si>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</si>
  <si>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</si>
  <si>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</si>
  <si>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</si>
  <si>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</si>
  <si>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</si>
  <si>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</si>
  <si>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</si>
  <si>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</si>
  <si>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</si>
  <si>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</si>
  <si>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</si>
  <si>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</si>
  <si>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</si>
  <si>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</si>
  <si>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</si>
  <si>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</si>
  <si>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</si>
  <si>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</si>
  <si>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</si>
  <si>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</si>
  <si>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</si>
  <si>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</si>
  <si>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</si>
  <si>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</si>
  <si>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</si>
  <si>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</si>
  <si>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</si>
  <si>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</si>
  <si>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</si>
  <si>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</si>
  <si>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</si>
  <si>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</si>
  <si>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</si>
  <si>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</si>
  <si>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</si>
  <si>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</si>
  <si>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</si>
  <si>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</si>
  <si>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</si>
  <si>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</si>
  <si>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</si>
  <si>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</si>
  <si>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</si>
  <si>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</si>
  <si>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</si>
  <si>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</si>
  <si>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</si>
  <si>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</si>
  <si>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</si>
  <si>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</si>
  <si>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</si>
  <si>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</si>
  <si>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</si>
  <si>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</si>
  <si>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</si>
  <si>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</si>
  <si>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</si>
  <si>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</si>
  <si>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</si>
  <si>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</si>
  <si>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</si>
  <si>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</si>
  <si>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</si>
  <si>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</si>
  <si>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</si>
  <si>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</si>
  <si>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</si>
  <si>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</si>
  <si>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</si>
  <si>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</si>
  <si>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</si>
  <si>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</si>
  <si>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</si>
  <si>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</si>
  <si>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</si>
  <si>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</si>
  <si>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</si>
  <si>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</si>
  <si>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</si>
  <si>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</si>
  <si>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</si>
  <si>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</si>
  <si>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</si>
  <si>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</si>
  <si>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</si>
  <si>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</si>
  <si>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</si>
  <si>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</si>
  <si>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</si>
  <si>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</si>
  <si>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</si>
  <si>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</si>
  <si>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</si>
  <si>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</si>
  <si>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</si>
  <si>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</si>
  <si>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</si>
  <si>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</si>
  <si>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</si>
  <si>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</si>
  <si>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</si>
  <si>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</si>
  <si>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</si>
  <si>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</si>
  <si>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</si>
  <si>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</si>
  <si>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</si>
  <si>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</si>
  <si>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</si>
  <si>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</si>
  <si>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</si>
  <si>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</si>
  <si>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</si>
  <si>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</si>
  <si>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</si>
  <si>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</si>
  <si>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</si>
  <si>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</si>
  <si>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</si>
  <si>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</si>
  <si>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</si>
  <si>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</si>
  <si>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</si>
  <si>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</si>
  <si>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</si>
  <si>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</si>
  <si>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</si>
  <si>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</si>
  <si>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</si>
  <si>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</si>
  <si>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</si>
  <si>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</si>
  <si>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</si>
  <si>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</si>
  <si>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</si>
  <si>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</si>
  <si>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</si>
  <si>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</si>
  <si>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</si>
  <si>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</si>
  <si>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</si>
  <si>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</si>
  <si>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</si>
  <si>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</si>
  <si>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</si>
  <si>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</si>
  <si>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</si>
  <si>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</si>
  <si>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</si>
  <si>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</si>
  <si>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</si>
  <si>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</si>
  <si>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</si>
  <si>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</si>
  <si>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</si>
  <si>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</si>
  <si>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</si>
  <si>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</si>
  <si>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</si>
  <si>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</si>
  <si>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</si>
  <si>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</si>
  <si>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</si>
  <si>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</si>
  <si>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</si>
  <si>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</si>
  <si>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</si>
  <si>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</si>
  <si>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</si>
  <si>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</si>
  <si>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</si>
  <si>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</si>
  <si>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</si>
  <si>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</si>
  <si>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</si>
  <si>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</si>
  <si>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</si>
  <si>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</si>
  <si>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</si>
  <si>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</si>
  <si>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</si>
  <si>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</si>
  <si>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</si>
  <si>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</si>
  <si>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</si>
  <si>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</si>
  <si>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</si>
  <si>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</si>
  <si>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</si>
  <si>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</si>
  <si>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</si>
  <si>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</si>
  <si>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</si>
  <si>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</si>
  <si>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</si>
  <si>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</si>
  <si>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</si>
  <si>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</si>
  <si>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</si>
  <si>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</si>
  <si>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</si>
  <si>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</si>
  <si>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</si>
  <si>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</si>
  <si>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</si>
  <si>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</si>
  <si>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</si>
  <si>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Contractor Number JV179996</t>
  </si>
  <si>
    <t>KSP Painting of Syracuse, Ltd.</t>
  </si>
  <si>
    <t>1010 Cold Springs Road</t>
  </si>
  <si>
    <t>Liverpool, NY 13088</t>
  </si>
  <si>
    <t>16-1373344</t>
  </si>
  <si>
    <t>Diana Cherrier</t>
  </si>
  <si>
    <t>Office</t>
  </si>
  <si>
    <t>Painters, Construction and Maintenance</t>
  </si>
  <si>
    <t>47-2141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</si>
</sst>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25" xfId="0" applyFont="1" applyFill="1" applyBorder="1" applyAlignment="1" applyProtection="1">
      <protection locked="0"/>
    </xf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3" xfId="0" applyNumberFormat="1" applyFont="1" applyFill="1" applyBorder="1" applyAlignment="1" applyProtection="1">
      <protection locked="0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11" fillId="4" borderId="14" xfId="0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400050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19050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zoomScale="89" zoomScaleNormal="89" zoomScaleSheetLayoutView="40" zoomScalePageLayoutView="96" workbookViewId="0">
      <selection activeCell="AF22" sqref="AF22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5" max="25" width="11.85546875" bestFit="1" customWidth="1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50" t="s">
        <v>322</v>
      </c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9" t="s">
        <v>0</v>
      </c>
      <c r="E5" s="134"/>
      <c r="F5" s="134"/>
      <c r="G5" s="130"/>
      <c r="H5" s="130"/>
      <c r="I5" s="149" t="s">
        <v>321</v>
      </c>
      <c r="J5" s="149"/>
      <c r="K5" s="149"/>
      <c r="L5" s="149"/>
      <c r="M5" s="149"/>
      <c r="N5" s="149"/>
      <c r="O5" s="149"/>
      <c r="P5" s="149"/>
      <c r="Q5" s="134"/>
      <c r="R5" s="135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64"/>
      <c r="F6" s="162"/>
      <c r="G6" s="132"/>
      <c r="H6" s="40"/>
      <c r="I6" s="162"/>
      <c r="J6" s="162"/>
      <c r="K6" s="162"/>
      <c r="L6" s="162"/>
      <c r="M6" s="162"/>
      <c r="N6" s="162"/>
      <c r="O6" s="162"/>
      <c r="P6" s="162"/>
      <c r="Q6" s="132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60"/>
      <c r="N7" s="160"/>
      <c r="O7" s="160"/>
      <c r="P7" s="160"/>
      <c r="Q7" s="132"/>
      <c r="R7" s="71"/>
      <c r="S7" s="43" t="s">
        <v>6</v>
      </c>
      <c r="T7" s="116"/>
      <c r="U7" s="70"/>
      <c r="V7" s="2"/>
      <c r="W7" s="2"/>
      <c r="X7" s="151" t="s">
        <v>1841</v>
      </c>
      <c r="Y7" s="155"/>
      <c r="Z7" s="155"/>
      <c r="AA7" s="155"/>
      <c r="AB7" s="155"/>
      <c r="AC7" s="155"/>
      <c r="AD7" s="155"/>
      <c r="AE7" s="156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61" t="s">
        <v>1837</v>
      </c>
      <c r="E8" s="161"/>
      <c r="F8" s="161"/>
      <c r="G8" s="70"/>
      <c r="H8" s="41"/>
      <c r="I8" s="138"/>
      <c r="J8" s="163"/>
      <c r="K8" s="139"/>
      <c r="L8" s="138"/>
      <c r="M8" s="139"/>
      <c r="N8" s="131"/>
      <c r="O8" s="138"/>
      <c r="P8" s="139"/>
      <c r="Q8" s="132"/>
      <c r="R8" s="38"/>
      <c r="S8" s="43" t="s">
        <v>7</v>
      </c>
      <c r="T8" s="116"/>
      <c r="U8" s="53"/>
      <c r="V8" s="2"/>
      <c r="W8" s="2"/>
      <c r="X8" s="157" t="s">
        <v>1842</v>
      </c>
      <c r="Y8" s="158"/>
      <c r="Z8" s="158"/>
      <c r="AA8" s="158"/>
      <c r="AB8" s="158"/>
      <c r="AC8" s="158"/>
      <c r="AD8" s="158"/>
      <c r="AE8" s="159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61" t="s">
        <v>1838</v>
      </c>
      <c r="E9" s="161"/>
      <c r="F9" s="161"/>
      <c r="G9" s="70"/>
      <c r="H9" s="41"/>
      <c r="I9" s="138"/>
      <c r="J9" s="163"/>
      <c r="K9" s="139"/>
      <c r="L9" s="138"/>
      <c r="M9" s="139"/>
      <c r="N9" s="131"/>
      <c r="O9" s="138"/>
      <c r="P9" s="139"/>
      <c r="Q9" s="132"/>
      <c r="R9" s="38"/>
      <c r="S9" s="43" t="s">
        <v>8</v>
      </c>
      <c r="T9" s="116"/>
      <c r="U9" s="70"/>
      <c r="V9" s="2"/>
      <c r="W9" s="2"/>
      <c r="X9" s="86"/>
      <c r="Y9" s="137">
        <v>43312</v>
      </c>
      <c r="Z9" s="87"/>
      <c r="AA9" s="87"/>
      <c r="AB9" s="88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1839</v>
      </c>
      <c r="E10" s="32"/>
      <c r="F10" s="32"/>
      <c r="G10" s="70"/>
      <c r="H10" s="41"/>
      <c r="I10" s="165"/>
      <c r="J10" s="165"/>
      <c r="K10" s="165"/>
      <c r="L10" s="165"/>
      <c r="M10" s="165"/>
      <c r="N10" s="127"/>
      <c r="O10" s="165"/>
      <c r="P10" s="165"/>
      <c r="Q10" s="132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72" t="s">
        <v>1840</v>
      </c>
      <c r="E11" s="173"/>
      <c r="F11" s="174"/>
      <c r="G11" s="53"/>
      <c r="H11" s="41"/>
      <c r="I11" s="165"/>
      <c r="J11" s="165"/>
      <c r="K11" s="165"/>
      <c r="L11" s="165"/>
      <c r="M11" s="165"/>
      <c r="N11" s="127"/>
      <c r="O11" s="165"/>
      <c r="P11" s="165"/>
      <c r="Q11" s="132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51"/>
      <c r="E13" s="152"/>
      <c r="F13" s="153"/>
      <c r="G13" s="115"/>
      <c r="H13" s="41"/>
      <c r="I13" s="167" t="s">
        <v>5</v>
      </c>
      <c r="J13" s="167"/>
      <c r="K13" s="167"/>
      <c r="L13" s="167"/>
      <c r="M13" s="167"/>
      <c r="N13" s="167"/>
      <c r="O13" s="167"/>
      <c r="P13" s="167"/>
      <c r="Q13" s="133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61" t="s">
        <v>1835</v>
      </c>
      <c r="E14" s="161"/>
      <c r="F14" s="161"/>
      <c r="G14" s="70"/>
      <c r="H14" s="41"/>
      <c r="I14" s="165"/>
      <c r="J14" s="165"/>
      <c r="K14" s="165"/>
      <c r="L14" s="165"/>
      <c r="M14" s="165"/>
      <c r="N14" s="165"/>
      <c r="O14" s="165"/>
      <c r="P14" s="165"/>
      <c r="Q14" s="132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 t="s">
        <v>1836</v>
      </c>
      <c r="E15" s="41"/>
      <c r="F15" s="41"/>
      <c r="G15" s="41"/>
      <c r="H15" s="41"/>
      <c r="I15" s="165"/>
      <c r="J15" s="165"/>
      <c r="K15" s="165"/>
      <c r="L15" s="165"/>
      <c r="M15" s="165"/>
      <c r="N15" s="165"/>
      <c r="O15" s="165"/>
      <c r="P15" s="165"/>
      <c r="Q15" s="132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6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68" t="s">
        <v>11</v>
      </c>
      <c r="D18" s="170" t="s">
        <v>9</v>
      </c>
      <c r="E18" s="168" t="s">
        <v>10</v>
      </c>
      <c r="F18" s="186" t="s">
        <v>1825</v>
      </c>
      <c r="G18" s="187"/>
      <c r="H18" s="187"/>
      <c r="I18" s="187"/>
      <c r="J18" s="187"/>
      <c r="K18" s="187"/>
      <c r="L18" s="187"/>
      <c r="M18" s="187"/>
      <c r="N18" s="187"/>
      <c r="O18" s="187"/>
      <c r="P18" s="187"/>
      <c r="Q18" s="187"/>
      <c r="R18" s="187"/>
      <c r="S18" s="187"/>
      <c r="T18" s="187"/>
      <c r="U18" s="187"/>
      <c r="V18" s="187"/>
      <c r="W18" s="187"/>
      <c r="X18" s="187"/>
      <c r="Y18" s="187"/>
      <c r="Z18" s="187"/>
      <c r="AA18" s="187"/>
      <c r="AB18" s="187"/>
      <c r="AC18" s="187"/>
      <c r="AD18" s="187"/>
      <c r="AE18" s="187"/>
      <c r="AF18" s="187"/>
      <c r="AG18" s="187"/>
      <c r="AH18" s="187"/>
      <c r="AI18" s="188"/>
      <c r="AJ18" s="2"/>
      <c r="AK18" s="2"/>
    </row>
    <row r="19" spans="1:37" ht="46.5" customHeight="1" thickBot="1" x14ac:dyDescent="0.3">
      <c r="A19" s="2"/>
      <c r="B19" s="2"/>
      <c r="C19" s="169"/>
      <c r="D19" s="171"/>
      <c r="E19" s="169"/>
      <c r="F19" s="144" t="s">
        <v>1</v>
      </c>
      <c r="G19" s="144"/>
      <c r="H19" s="144"/>
      <c r="I19" s="144"/>
      <c r="J19" s="144"/>
      <c r="K19" s="145"/>
      <c r="L19" s="143" t="s">
        <v>13</v>
      </c>
      <c r="M19" s="144"/>
      <c r="N19" s="144"/>
      <c r="O19" s="144"/>
      <c r="P19" s="144"/>
      <c r="Q19" s="145"/>
      <c r="R19" s="143" t="s">
        <v>12</v>
      </c>
      <c r="S19" s="144"/>
      <c r="T19" s="144"/>
      <c r="U19" s="144"/>
      <c r="V19" s="144"/>
      <c r="W19" s="145"/>
      <c r="X19" s="146" t="s">
        <v>1826</v>
      </c>
      <c r="Y19" s="147"/>
      <c r="Z19" s="147"/>
      <c r="AA19" s="147"/>
      <c r="AB19" s="147"/>
      <c r="AC19" s="148"/>
      <c r="AD19" s="181" t="s">
        <v>14</v>
      </c>
      <c r="AE19" s="182"/>
      <c r="AF19" s="182"/>
      <c r="AG19" s="182"/>
      <c r="AH19" s="182"/>
      <c r="AI19" s="183"/>
      <c r="AJ19" s="2"/>
      <c r="AK19" s="2"/>
    </row>
    <row r="20" spans="1:37" ht="15.75" thickBot="1" x14ac:dyDescent="0.3">
      <c r="A20" s="2"/>
      <c r="B20" s="2"/>
      <c r="C20" s="169"/>
      <c r="D20" s="171"/>
      <c r="E20" s="169"/>
      <c r="F20" s="141" t="s">
        <v>2</v>
      </c>
      <c r="G20" s="141"/>
      <c r="H20" s="142"/>
      <c r="I20" s="140" t="s">
        <v>3</v>
      </c>
      <c r="J20" s="141"/>
      <c r="K20" s="142"/>
      <c r="L20" s="140" t="s">
        <v>2</v>
      </c>
      <c r="M20" s="141"/>
      <c r="N20" s="142"/>
      <c r="O20" s="140" t="s">
        <v>3</v>
      </c>
      <c r="P20" s="141"/>
      <c r="Q20" s="142"/>
      <c r="R20" s="140" t="s">
        <v>2</v>
      </c>
      <c r="S20" s="141"/>
      <c r="T20" s="142"/>
      <c r="U20" s="140" t="s">
        <v>3</v>
      </c>
      <c r="V20" s="141"/>
      <c r="W20" s="142"/>
      <c r="X20" s="140" t="s">
        <v>2</v>
      </c>
      <c r="Y20" s="141"/>
      <c r="Z20" s="142"/>
      <c r="AA20" s="140" t="s">
        <v>3</v>
      </c>
      <c r="AB20" s="141"/>
      <c r="AC20" s="142"/>
      <c r="AD20" s="140" t="s">
        <v>2</v>
      </c>
      <c r="AE20" s="141"/>
      <c r="AF20" s="142"/>
      <c r="AG20" s="140" t="s">
        <v>3</v>
      </c>
      <c r="AH20" s="141"/>
      <c r="AI20" s="142"/>
      <c r="AJ20" s="2"/>
      <c r="AK20" s="2"/>
    </row>
    <row r="21" spans="1:37" ht="24" customHeight="1" thickBot="1" x14ac:dyDescent="0.3">
      <c r="A21" s="2"/>
      <c r="B21" s="2"/>
      <c r="C21" s="89"/>
      <c r="D21" s="90"/>
      <c r="E21" s="89"/>
      <c r="F21" s="91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2" t="s">
        <v>319</v>
      </c>
      <c r="D22" s="92" t="s">
        <v>1843</v>
      </c>
      <c r="E22" s="93" t="s">
        <v>1844</v>
      </c>
      <c r="F22" s="97">
        <v>6</v>
      </c>
      <c r="G22" s="97">
        <v>463</v>
      </c>
      <c r="H22" s="95"/>
      <c r="I22" s="97"/>
      <c r="J22" s="97"/>
      <c r="K22" s="95"/>
      <c r="L22" s="98"/>
      <c r="M22" s="98"/>
      <c r="N22" s="117"/>
      <c r="O22" s="98"/>
      <c r="P22" s="98"/>
      <c r="Q22" s="117"/>
      <c r="R22" s="99"/>
      <c r="S22" s="99"/>
      <c r="T22" s="119"/>
      <c r="U22" s="99"/>
      <c r="V22" s="99"/>
      <c r="W22" s="119"/>
      <c r="X22" s="100"/>
      <c r="Y22" s="100"/>
      <c r="Z22" s="121"/>
      <c r="AA22" s="100"/>
      <c r="AB22" s="100"/>
      <c r="AC22" s="121"/>
      <c r="AD22" s="101">
        <v>1</v>
      </c>
      <c r="AE22" s="101">
        <v>136</v>
      </c>
      <c r="AF22" s="123"/>
      <c r="AG22" s="102"/>
      <c r="AH22" s="101"/>
      <c r="AI22" s="125"/>
      <c r="AJ22" s="2"/>
      <c r="AK22" s="2"/>
    </row>
    <row r="23" spans="1:37" ht="24" customHeight="1" thickBot="1" x14ac:dyDescent="0.3">
      <c r="A23" s="2"/>
      <c r="B23" s="2"/>
      <c r="C23" s="33"/>
      <c r="D23" s="33"/>
      <c r="E23" s="93" t="str">
        <f>IF(ISERROR(VLOOKUP(D23,Sheet3!$A$2:$B$821,2,FALSE)),"",(VLOOKUP(D23,Sheet3!$A$2:$B$821,2,FALSE)))</f>
        <v/>
      </c>
      <c r="F23" s="97"/>
      <c r="G23" s="97"/>
      <c r="H23" s="95"/>
      <c r="I23" s="97"/>
      <c r="J23" s="97"/>
      <c r="K23" s="95"/>
      <c r="L23" s="98"/>
      <c r="M23" s="98"/>
      <c r="N23" s="117"/>
      <c r="O23" s="98"/>
      <c r="P23" s="98"/>
      <c r="Q23" s="117"/>
      <c r="R23" s="99"/>
      <c r="S23" s="99"/>
      <c r="T23" s="119"/>
      <c r="U23" s="99"/>
      <c r="V23" s="99"/>
      <c r="W23" s="119"/>
      <c r="X23" s="100"/>
      <c r="Y23" s="100"/>
      <c r="Z23" s="121"/>
      <c r="AA23" s="100"/>
      <c r="AB23" s="100"/>
      <c r="AC23" s="121"/>
      <c r="AD23" s="101"/>
      <c r="AE23" s="101"/>
      <c r="AF23" s="123"/>
      <c r="AG23" s="102"/>
      <c r="AH23" s="101"/>
      <c r="AI23" s="125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3" t="str">
        <f>IF(ISERROR(VLOOKUP(D24,Sheet3!$A$2:$B$821,2,FALSE)),"",(VLOOKUP(D24,Sheet3!$A$2:$B$821,2,FALSE)))</f>
        <v/>
      </c>
      <c r="F24" s="97"/>
      <c r="G24" s="97"/>
      <c r="H24" s="95"/>
      <c r="I24" s="97"/>
      <c r="J24" s="97"/>
      <c r="K24" s="95"/>
      <c r="L24" s="98"/>
      <c r="M24" s="98"/>
      <c r="N24" s="117"/>
      <c r="O24" s="98"/>
      <c r="P24" s="98"/>
      <c r="Q24" s="117"/>
      <c r="R24" s="99"/>
      <c r="S24" s="99"/>
      <c r="T24" s="119"/>
      <c r="U24" s="99"/>
      <c r="V24" s="99"/>
      <c r="W24" s="119"/>
      <c r="X24" s="100"/>
      <c r="Y24" s="100"/>
      <c r="Z24" s="121"/>
      <c r="AA24" s="100"/>
      <c r="AB24" s="100"/>
      <c r="AC24" s="121"/>
      <c r="AD24" s="101"/>
      <c r="AE24" s="101"/>
      <c r="AF24" s="123"/>
      <c r="AG24" s="102"/>
      <c r="AH24" s="101"/>
      <c r="AI24" s="125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3" t="str">
        <f>IF(ISERROR(VLOOKUP(D25,Sheet3!$A$2:$B$821,2,FALSE)),"",(VLOOKUP(D25,Sheet3!$A$2:$B$821,2,FALSE)))</f>
        <v/>
      </c>
      <c r="F25" s="97"/>
      <c r="G25" s="97"/>
      <c r="H25" s="95"/>
      <c r="I25" s="97"/>
      <c r="J25" s="97"/>
      <c r="K25" s="95"/>
      <c r="L25" s="98"/>
      <c r="M25" s="98"/>
      <c r="N25" s="117"/>
      <c r="O25" s="98"/>
      <c r="P25" s="98"/>
      <c r="Q25" s="117"/>
      <c r="R25" s="99"/>
      <c r="S25" s="99"/>
      <c r="T25" s="119"/>
      <c r="U25" s="99"/>
      <c r="V25" s="99"/>
      <c r="W25" s="119"/>
      <c r="X25" s="100"/>
      <c r="Y25" s="100"/>
      <c r="Z25" s="121"/>
      <c r="AA25" s="100"/>
      <c r="AB25" s="100"/>
      <c r="AC25" s="121"/>
      <c r="AD25" s="101"/>
      <c r="AE25" s="101"/>
      <c r="AF25" s="123"/>
      <c r="AG25" s="102"/>
      <c r="AH25" s="101"/>
      <c r="AI25" s="125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3" t="str">
        <f>IF(ISERROR(VLOOKUP(D26,Sheet3!$A$2:$B$821,2,FALSE)),"",(VLOOKUP(D26,Sheet3!$A$2:$B$821,2,FALSE)))</f>
        <v/>
      </c>
      <c r="F26" s="97"/>
      <c r="G26" s="97"/>
      <c r="H26" s="95"/>
      <c r="I26" s="97"/>
      <c r="J26" s="97"/>
      <c r="K26" s="95"/>
      <c r="L26" s="98"/>
      <c r="M26" s="98"/>
      <c r="N26" s="117"/>
      <c r="O26" s="98"/>
      <c r="P26" s="98"/>
      <c r="Q26" s="117"/>
      <c r="R26" s="99"/>
      <c r="S26" s="99"/>
      <c r="T26" s="119"/>
      <c r="U26" s="99"/>
      <c r="V26" s="99"/>
      <c r="W26" s="119"/>
      <c r="X26" s="100"/>
      <c r="Y26" s="100"/>
      <c r="Z26" s="121"/>
      <c r="AA26" s="100"/>
      <c r="AB26" s="100"/>
      <c r="AC26" s="121"/>
      <c r="AD26" s="101"/>
      <c r="AE26" s="101"/>
      <c r="AF26" s="123"/>
      <c r="AG26" s="102"/>
      <c r="AH26" s="101"/>
      <c r="AI26" s="125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3" t="str">
        <f>IF(ISERROR(VLOOKUP(D27,Sheet3!$A$2:$B$821,2,FALSE)),"",(VLOOKUP(D27,Sheet3!$A$2:$B$821,2,FALSE)))</f>
        <v/>
      </c>
      <c r="F27" s="97"/>
      <c r="G27" s="97"/>
      <c r="H27" s="95"/>
      <c r="I27" s="97"/>
      <c r="J27" s="97"/>
      <c r="K27" s="95"/>
      <c r="L27" s="98"/>
      <c r="M27" s="98"/>
      <c r="N27" s="117"/>
      <c r="O27" s="98"/>
      <c r="P27" s="98"/>
      <c r="Q27" s="117"/>
      <c r="R27" s="99"/>
      <c r="S27" s="99"/>
      <c r="T27" s="119"/>
      <c r="U27" s="99"/>
      <c r="V27" s="99"/>
      <c r="W27" s="119"/>
      <c r="X27" s="100"/>
      <c r="Y27" s="100"/>
      <c r="Z27" s="121"/>
      <c r="AA27" s="100"/>
      <c r="AB27" s="100"/>
      <c r="AC27" s="121"/>
      <c r="AD27" s="101"/>
      <c r="AE27" s="101"/>
      <c r="AF27" s="123"/>
      <c r="AG27" s="102"/>
      <c r="AH27" s="101"/>
      <c r="AI27" s="125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3" t="str">
        <f>IF(ISERROR(VLOOKUP(D28,Sheet3!$A$2:$B$821,2,FALSE)),"",(VLOOKUP(D28,Sheet3!$A$2:$B$821,2,FALSE)))</f>
        <v/>
      </c>
      <c r="F28" s="97"/>
      <c r="G28" s="97"/>
      <c r="H28" s="95"/>
      <c r="I28" s="97"/>
      <c r="J28" s="97"/>
      <c r="K28" s="95"/>
      <c r="L28" s="98"/>
      <c r="M28" s="98"/>
      <c r="N28" s="117"/>
      <c r="O28" s="98"/>
      <c r="P28" s="98"/>
      <c r="Q28" s="117"/>
      <c r="R28" s="99"/>
      <c r="S28" s="99"/>
      <c r="T28" s="119"/>
      <c r="U28" s="99"/>
      <c r="V28" s="99"/>
      <c r="W28" s="119"/>
      <c r="X28" s="100"/>
      <c r="Y28" s="100"/>
      <c r="Z28" s="121"/>
      <c r="AA28" s="100"/>
      <c r="AB28" s="100"/>
      <c r="AC28" s="121"/>
      <c r="AD28" s="101"/>
      <c r="AE28" s="101"/>
      <c r="AF28" s="123"/>
      <c r="AG28" s="102"/>
      <c r="AH28" s="101"/>
      <c r="AI28" s="125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3" t="str">
        <f>IF(ISERROR(VLOOKUP(D29,Sheet3!$A$2:$B$821,2,FALSE)),"",(VLOOKUP(D29,Sheet3!$A$2:$B$821,2,FALSE)))</f>
        <v/>
      </c>
      <c r="F29" s="97"/>
      <c r="G29" s="97"/>
      <c r="H29" s="95"/>
      <c r="I29" s="97"/>
      <c r="J29" s="97"/>
      <c r="K29" s="95"/>
      <c r="L29" s="98"/>
      <c r="M29" s="98"/>
      <c r="N29" s="117"/>
      <c r="O29" s="98"/>
      <c r="P29" s="98"/>
      <c r="Q29" s="117"/>
      <c r="R29" s="99"/>
      <c r="S29" s="99"/>
      <c r="T29" s="119"/>
      <c r="U29" s="99"/>
      <c r="V29" s="99"/>
      <c r="W29" s="119"/>
      <c r="X29" s="100"/>
      <c r="Y29" s="100"/>
      <c r="Z29" s="121"/>
      <c r="AA29" s="100"/>
      <c r="AB29" s="100"/>
      <c r="AC29" s="121"/>
      <c r="AD29" s="101"/>
      <c r="AE29" s="101"/>
      <c r="AF29" s="123"/>
      <c r="AG29" s="102"/>
      <c r="AH29" s="101"/>
      <c r="AI29" s="125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3" t="str">
        <f>IF(ISERROR(VLOOKUP(D30,Sheet3!$A$2:$B$821,2,FALSE)),"",(VLOOKUP(D30,Sheet3!$A$2:$B$821,2,FALSE)))</f>
        <v/>
      </c>
      <c r="F30" s="97"/>
      <c r="G30" s="97"/>
      <c r="H30" s="95"/>
      <c r="I30" s="97"/>
      <c r="J30" s="97"/>
      <c r="K30" s="95"/>
      <c r="L30" s="98"/>
      <c r="M30" s="98"/>
      <c r="N30" s="117"/>
      <c r="O30" s="98"/>
      <c r="P30" s="98"/>
      <c r="Q30" s="117"/>
      <c r="R30" s="99"/>
      <c r="S30" s="99"/>
      <c r="T30" s="119"/>
      <c r="U30" s="99"/>
      <c r="V30" s="99"/>
      <c r="W30" s="119"/>
      <c r="X30" s="100"/>
      <c r="Y30" s="100"/>
      <c r="Z30" s="121"/>
      <c r="AA30" s="100"/>
      <c r="AB30" s="100"/>
      <c r="AC30" s="121"/>
      <c r="AD30" s="101"/>
      <c r="AE30" s="101"/>
      <c r="AF30" s="123"/>
      <c r="AG30" s="102"/>
      <c r="AH30" s="101"/>
      <c r="AI30" s="125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3" t="str">
        <f>IF(ISERROR(VLOOKUP(D31,Sheet3!$A$2:$B$821,2,FALSE)),"",(VLOOKUP(D31,Sheet3!$A$2:$B$821,2,FALSE)))</f>
        <v/>
      </c>
      <c r="F31" s="97"/>
      <c r="G31" s="97"/>
      <c r="H31" s="95"/>
      <c r="I31" s="97"/>
      <c r="J31" s="97"/>
      <c r="K31" s="95"/>
      <c r="L31" s="98"/>
      <c r="M31" s="98"/>
      <c r="N31" s="117"/>
      <c r="O31" s="98"/>
      <c r="P31" s="98"/>
      <c r="Q31" s="117"/>
      <c r="R31" s="99"/>
      <c r="S31" s="99"/>
      <c r="T31" s="119"/>
      <c r="U31" s="99"/>
      <c r="V31" s="99"/>
      <c r="W31" s="119"/>
      <c r="X31" s="100"/>
      <c r="Y31" s="100"/>
      <c r="Z31" s="121"/>
      <c r="AA31" s="100"/>
      <c r="AB31" s="100"/>
      <c r="AC31" s="121"/>
      <c r="AD31" s="101"/>
      <c r="AE31" s="101"/>
      <c r="AF31" s="123"/>
      <c r="AG31" s="102"/>
      <c r="AH31" s="101"/>
      <c r="AI31" s="125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3" t="str">
        <f>IF(ISERROR(VLOOKUP(D32,Sheet3!$A$2:$B$821,2,FALSE)),"",(VLOOKUP(D32,Sheet3!$A$2:$B$821,2,FALSE)))</f>
        <v/>
      </c>
      <c r="F32" s="97"/>
      <c r="G32" s="97"/>
      <c r="H32" s="95"/>
      <c r="I32" s="97"/>
      <c r="J32" s="97"/>
      <c r="K32" s="95"/>
      <c r="L32" s="98"/>
      <c r="M32" s="103"/>
      <c r="N32" s="118"/>
      <c r="O32" s="98"/>
      <c r="P32" s="103"/>
      <c r="Q32" s="118"/>
      <c r="R32" s="104"/>
      <c r="S32" s="104"/>
      <c r="T32" s="120"/>
      <c r="U32" s="104"/>
      <c r="V32" s="104"/>
      <c r="W32" s="120"/>
      <c r="X32" s="105"/>
      <c r="Y32" s="105"/>
      <c r="Z32" s="122"/>
      <c r="AA32" s="105"/>
      <c r="AB32" s="100"/>
      <c r="AC32" s="122"/>
      <c r="AD32" s="106"/>
      <c r="AE32" s="101"/>
      <c r="AF32" s="124"/>
      <c r="AG32" s="107"/>
      <c r="AH32" s="106"/>
      <c r="AI32" s="126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3" t="str">
        <f>IF(ISERROR(VLOOKUP(D33,Sheet3!$A$2:$B$821,2,FALSE)),"",(VLOOKUP(D33,Sheet3!$A$2:$B$821,2,FALSE)))</f>
        <v/>
      </c>
      <c r="F33" s="97"/>
      <c r="G33" s="97"/>
      <c r="H33" s="95"/>
      <c r="I33" s="97"/>
      <c r="J33" s="97"/>
      <c r="K33" s="95"/>
      <c r="L33" s="98"/>
      <c r="M33" s="98"/>
      <c r="N33" s="117"/>
      <c r="O33" s="98"/>
      <c r="P33" s="98"/>
      <c r="Q33" s="117"/>
      <c r="R33" s="99"/>
      <c r="S33" s="99"/>
      <c r="T33" s="119"/>
      <c r="U33" s="99"/>
      <c r="V33" s="99"/>
      <c r="W33" s="119"/>
      <c r="X33" s="100"/>
      <c r="Y33" s="100"/>
      <c r="Z33" s="121"/>
      <c r="AA33" s="100"/>
      <c r="AB33" s="100"/>
      <c r="AC33" s="121"/>
      <c r="AD33" s="101"/>
      <c r="AE33" s="101"/>
      <c r="AF33" s="125"/>
      <c r="AG33" s="101"/>
      <c r="AH33" s="101"/>
      <c r="AI33" s="125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3" t="str">
        <f>IF(ISERROR(VLOOKUP(D34,Sheet3!$A$2:$B$821,2,FALSE)),"",(VLOOKUP(D34,Sheet3!$A$2:$B$821,2,FALSE)))</f>
        <v/>
      </c>
      <c r="F34" s="97"/>
      <c r="G34" s="97"/>
      <c r="H34" s="95"/>
      <c r="I34" s="97"/>
      <c r="J34" s="108"/>
      <c r="K34" s="95"/>
      <c r="L34" s="98"/>
      <c r="M34" s="98"/>
      <c r="N34" s="117"/>
      <c r="O34" s="98"/>
      <c r="P34" s="109"/>
      <c r="Q34" s="117"/>
      <c r="R34" s="99"/>
      <c r="S34" s="99"/>
      <c r="T34" s="119"/>
      <c r="U34" s="99"/>
      <c r="V34" s="99"/>
      <c r="W34" s="119"/>
      <c r="X34" s="110"/>
      <c r="Y34" s="100"/>
      <c r="Z34" s="121"/>
      <c r="AA34" s="100"/>
      <c r="AB34" s="100"/>
      <c r="AC34" s="121"/>
      <c r="AD34" s="101"/>
      <c r="AE34" s="101"/>
      <c r="AF34" s="125"/>
      <c r="AG34" s="101"/>
      <c r="AH34" s="101"/>
      <c r="AI34" s="125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3" t="str">
        <f>IF(ISERROR(VLOOKUP(D35,Sheet3!$A$2:$B$821,2,FALSE)),"",(VLOOKUP(D35,Sheet3!$A$2:$B$821,2,FALSE)))</f>
        <v/>
      </c>
      <c r="F35" s="97"/>
      <c r="G35" s="97"/>
      <c r="H35" s="95"/>
      <c r="I35" s="97"/>
      <c r="J35" s="97"/>
      <c r="K35" s="95"/>
      <c r="L35" s="98"/>
      <c r="M35" s="98"/>
      <c r="N35" s="117"/>
      <c r="O35" s="98"/>
      <c r="P35" s="98"/>
      <c r="Q35" s="117"/>
      <c r="R35" s="111"/>
      <c r="S35" s="99"/>
      <c r="T35" s="119"/>
      <c r="U35" s="99"/>
      <c r="V35" s="99"/>
      <c r="W35" s="119"/>
      <c r="X35" s="100"/>
      <c r="Y35" s="100"/>
      <c r="Z35" s="121"/>
      <c r="AA35" s="100"/>
      <c r="AB35" s="100"/>
      <c r="AC35" s="121"/>
      <c r="AD35" s="101"/>
      <c r="AE35" s="101"/>
      <c r="AF35" s="125"/>
      <c r="AG35" s="112"/>
      <c r="AH35" s="101"/>
      <c r="AI35" s="125"/>
      <c r="AJ35" s="2"/>
      <c r="AK35" s="2"/>
    </row>
    <row r="36" spans="1:37" s="3" customFormat="1" ht="24.6" customHeight="1" thickBot="1" x14ac:dyDescent="0.3">
      <c r="A36" s="2"/>
      <c r="B36" s="2"/>
      <c r="C36" s="33"/>
      <c r="D36" s="94"/>
      <c r="E36" s="93" t="str">
        <f>IF(ISERROR(VLOOKUP(D36,Sheet3!$A$2:$B$821,2,FALSE)),"",(VLOOKUP(D36,Sheet3!$A$2:$B$821,2,FALSE)))</f>
        <v/>
      </c>
      <c r="F36" s="97"/>
      <c r="G36" s="97"/>
      <c r="H36" s="95"/>
      <c r="I36" s="97"/>
      <c r="J36" s="97"/>
      <c r="K36" s="95"/>
      <c r="L36" s="98"/>
      <c r="M36" s="98"/>
      <c r="N36" s="117"/>
      <c r="O36" s="98"/>
      <c r="P36" s="98"/>
      <c r="Q36" s="117"/>
      <c r="R36" s="99"/>
      <c r="S36" s="99"/>
      <c r="T36" s="119"/>
      <c r="U36" s="99"/>
      <c r="V36" s="99"/>
      <c r="W36" s="119"/>
      <c r="X36" s="100"/>
      <c r="Y36" s="100"/>
      <c r="Z36" s="121"/>
      <c r="AA36" s="110"/>
      <c r="AB36" s="100"/>
      <c r="AC36" s="121"/>
      <c r="AD36" s="112"/>
      <c r="AE36" s="101"/>
      <c r="AF36" s="125"/>
      <c r="AG36" s="101"/>
      <c r="AH36" s="101"/>
      <c r="AI36" s="125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3" t="str">
        <f>IF(ISERROR(VLOOKUP(D37,Sheet3!$A$2:$B$821,2,FALSE)),"",(VLOOKUP(D37,Sheet3!$A$2:$B$821,2,FALSE)))</f>
        <v/>
      </c>
      <c r="F37" s="97"/>
      <c r="G37" s="97"/>
      <c r="H37" s="95"/>
      <c r="I37" s="97"/>
      <c r="J37" s="97"/>
      <c r="K37" s="95"/>
      <c r="L37" s="98"/>
      <c r="M37" s="98"/>
      <c r="N37" s="117"/>
      <c r="O37" s="98"/>
      <c r="P37" s="98"/>
      <c r="Q37" s="117"/>
      <c r="R37" s="99"/>
      <c r="S37" s="99"/>
      <c r="T37" s="119"/>
      <c r="U37" s="99"/>
      <c r="V37" s="99"/>
      <c r="W37" s="119"/>
      <c r="X37" s="100"/>
      <c r="Y37" s="100"/>
      <c r="Z37" s="121"/>
      <c r="AA37" s="100"/>
      <c r="AB37" s="100"/>
      <c r="AC37" s="121"/>
      <c r="AD37" s="101"/>
      <c r="AE37" s="101"/>
      <c r="AF37" s="125"/>
      <c r="AG37" s="101"/>
      <c r="AH37" s="101"/>
      <c r="AI37" s="125"/>
      <c r="AJ37" s="2"/>
      <c r="AK37" s="2"/>
    </row>
    <row r="38" spans="1:37" s="3" customFormat="1" ht="15.75" thickBot="1" x14ac:dyDescent="0.3">
      <c r="A38" s="2"/>
      <c r="B38" s="2"/>
      <c r="C38" s="154"/>
      <c r="D38" s="154"/>
      <c r="E38" s="154"/>
      <c r="F38" s="113"/>
      <c r="G38" s="113"/>
      <c r="H38" s="83"/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84"/>
      <c r="T38" s="184"/>
      <c r="U38" s="185"/>
      <c r="V38" s="113"/>
      <c r="W38" s="113"/>
      <c r="X38" s="113"/>
      <c r="Y38" s="113"/>
      <c r="Z38" s="113"/>
      <c r="AA38" s="113"/>
      <c r="AB38" s="113"/>
      <c r="AC38" s="113"/>
      <c r="AD38" s="113"/>
      <c r="AE38" s="113"/>
      <c r="AF38" s="113"/>
      <c r="AG38" s="113"/>
      <c r="AH38" s="113"/>
      <c r="AI38" s="113"/>
      <c r="AJ38" s="2"/>
      <c r="AK38" s="2"/>
    </row>
    <row r="39" spans="1:37" s="3" customFormat="1" ht="15.75" thickBot="1" x14ac:dyDescent="0.3">
      <c r="A39" s="2"/>
      <c r="B39" s="2"/>
      <c r="C39" s="128"/>
      <c r="D39" s="128"/>
      <c r="E39" s="68"/>
      <c r="F39" s="96">
        <f>SUM(F22:F37)</f>
        <v>6</v>
      </c>
      <c r="G39" s="96">
        <f>SUM(G22:G37)</f>
        <v>463</v>
      </c>
      <c r="H39" s="114">
        <f>SUM(H22:H37)</f>
        <v>0</v>
      </c>
      <c r="I39" s="96">
        <f t="shared" ref="I39:AG39" si="0">SUM(I22:I37)</f>
        <v>0</v>
      </c>
      <c r="J39" s="96">
        <f t="shared" si="0"/>
        <v>0</v>
      </c>
      <c r="K39" s="114">
        <f t="shared" si="0"/>
        <v>0</v>
      </c>
      <c r="L39" s="96">
        <f t="shared" si="0"/>
        <v>0</v>
      </c>
      <c r="M39" s="96">
        <f t="shared" si="0"/>
        <v>0</v>
      </c>
      <c r="N39" s="114">
        <f>SUM(N22:N37)</f>
        <v>0</v>
      </c>
      <c r="O39" s="96">
        <f t="shared" si="0"/>
        <v>0</v>
      </c>
      <c r="P39" s="96">
        <f t="shared" si="0"/>
        <v>0</v>
      </c>
      <c r="Q39" s="114">
        <f>SUM(Q22:Q37)</f>
        <v>0</v>
      </c>
      <c r="R39" s="96">
        <f t="shared" si="0"/>
        <v>0</v>
      </c>
      <c r="S39" s="96">
        <f t="shared" si="0"/>
        <v>0</v>
      </c>
      <c r="T39" s="114">
        <f>SUM(T22:T37)</f>
        <v>0</v>
      </c>
      <c r="U39" s="96">
        <f t="shared" si="0"/>
        <v>0</v>
      </c>
      <c r="V39" s="96">
        <f t="shared" si="0"/>
        <v>0</v>
      </c>
      <c r="W39" s="114">
        <f>SUM(W22:W37)</f>
        <v>0</v>
      </c>
      <c r="X39" s="96">
        <f t="shared" si="0"/>
        <v>0</v>
      </c>
      <c r="Y39" s="96">
        <f t="shared" si="0"/>
        <v>0</v>
      </c>
      <c r="Z39" s="114">
        <f>SUM(Z22:Z37)</f>
        <v>0</v>
      </c>
      <c r="AA39" s="96">
        <f t="shared" si="0"/>
        <v>0</v>
      </c>
      <c r="AB39" s="96">
        <f t="shared" si="0"/>
        <v>0</v>
      </c>
      <c r="AC39" s="114">
        <f>SUM(AC22:AC37)</f>
        <v>0</v>
      </c>
      <c r="AD39" s="96">
        <f t="shared" si="0"/>
        <v>1</v>
      </c>
      <c r="AE39" s="96">
        <f t="shared" si="0"/>
        <v>136</v>
      </c>
      <c r="AF39" s="114">
        <f>SUM(AF22:AF37)</f>
        <v>0</v>
      </c>
      <c r="AG39" s="96">
        <f t="shared" si="0"/>
        <v>0</v>
      </c>
      <c r="AH39" s="96">
        <f t="shared" ref="AH39" si="1">SUM(AH22:AH37)</f>
        <v>0</v>
      </c>
      <c r="AI39" s="114">
        <f>SUM(AI22:AI37)</f>
        <v>0</v>
      </c>
      <c r="AJ39" s="2"/>
      <c r="AK39" s="2"/>
    </row>
    <row r="40" spans="1:37" s="3" customFormat="1" x14ac:dyDescent="0.25">
      <c r="A40" s="2"/>
      <c r="B40" s="2"/>
      <c r="C40" s="128"/>
      <c r="D40" s="128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8"/>
      <c r="D41" s="128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6"/>
      <c r="D42" s="166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75" t="s">
        <v>1829</v>
      </c>
      <c r="D43" s="176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77"/>
      <c r="D44" s="178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77"/>
      <c r="D45" s="178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77"/>
      <c r="D46" s="178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79"/>
      <c r="D47" s="180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O8:P8"/>
    <mergeCell ref="AD20:AF20"/>
    <mergeCell ref="U20:W20"/>
    <mergeCell ref="R19:W19"/>
    <mergeCell ref="X19:AC19"/>
    <mergeCell ref="X20:Z20"/>
    <mergeCell ref="AA20:AC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rintOptions horizontalCentered="1" verticalCentered="1"/>
  <pageMargins left="0.2" right="0.2" top="0.25" bottom="0.25" header="0.3" footer="0.3"/>
  <pageSetup paperSize="5" scale="4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400050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19050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4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KSP Painting</cp:lastModifiedBy>
  <cp:lastPrinted>2018-03-13T18:31:28Z</cp:lastPrinted>
  <dcterms:created xsi:type="dcterms:W3CDTF">2016-01-07T15:16:02Z</dcterms:created>
  <dcterms:modified xsi:type="dcterms:W3CDTF">2018-07-31T15:17:59Z</dcterms:modified>
</cp:coreProperties>
</file>