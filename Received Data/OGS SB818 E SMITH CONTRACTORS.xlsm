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Z:\2018 JOB FILES\2018 JOB FILES - E Smith\18-003 Expo Bldg NYS Fairgrounds\"/>
    </mc:Choice>
  </mc:AlternateContent>
  <xr:revisionPtr revIDLastSave="0" documentId="8_{5F498D70-C07B-4546-BCDB-4A9566092D80}" xr6:coauthVersionLast="32" xr6:coauthVersionMax="32" xr10:uidLastSave="{00000000-0000-0000-0000-000000000000}"/>
  <bookViews>
    <workbookView xWindow="930" yWindow="0" windowWidth="27870" windowHeight="12210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22" i="1" l="1"/>
  <c r="H22" i="1"/>
  <c r="G22" i="1"/>
  <c r="M22" i="1"/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<sst xmlns="http://schemas.openxmlformats.org/spreadsheetml/2006/main" count="2103" uniqueCount="1843">
  <si>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</si>
  <si>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</si>
  <si>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</si>
  <si>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</si>
  <si>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</si>
  <si>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</si>
  <si>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</si>
  <si>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</si>
  <si>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</si>
  <si>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</si>
  <si>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</si>
  <si>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</si>
  <si>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</si>
  <si>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</si>
  <si>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</si>
  <si>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</si>
  <si>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</si>
  <si>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</si>
  <si>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</si>
  <si>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</si>
  <si>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</si>
  <si>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</si>
  <si>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</si>
  <si>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</si>
  <si>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</si>
  <si>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</si>
  <si>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</si>
  <si>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</si>
  <si>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</si>
  <si>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</si>
  <si>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</si>
  <si>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</si>
  <si>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</si>
  <si>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</si>
  <si>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</si>
  <si>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</si>
  <si>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</si>
  <si>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</si>
  <si>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</si>
  <si>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</si>
  <si>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</si>
  <si>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</si>
  <si>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</si>
  <si>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</si>
  <si>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</si>
  <si>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</si>
  <si>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</si>
  <si>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</si>
  <si>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</si>
  <si>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</si>
  <si>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</si>
  <si>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</si>
  <si>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</si>
  <si>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</si>
  <si>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</si>
  <si>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</si>
  <si>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</si>
  <si>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</si>
  <si>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</si>
  <si>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</si>
  <si>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</si>
  <si>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</si>
  <si>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</si>
  <si>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</si>
  <si>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</si>
  <si>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</si>
  <si>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</si>
  <si>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</si>
  <si>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</si>
  <si>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</si>
  <si>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</si>
  <si>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</si>
  <si>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</si>
  <si>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</si>
  <si>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</si>
  <si>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</si>
  <si>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</si>
  <si>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</si>
  <si>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</si>
  <si>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</si>
  <si>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</si>
  <si>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</si>
  <si>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</si>
  <si>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</si>
  <si>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</si>
  <si>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</si>
  <si>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</si>
  <si>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</si>
  <si>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</si>
  <si>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</si>
  <si>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</si>
  <si>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</si>
  <si>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</si>
  <si>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</si>
  <si>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</si>
  <si>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</si>
  <si>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</si>
  <si>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</si>
  <si>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</si>
  <si>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</si>
  <si>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</si>
  <si>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</si>
  <si>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</si>
  <si>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</si>
  <si>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</si>
  <si>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</si>
  <si>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</si>
  <si>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</si>
  <si>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</si>
  <si>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</si>
  <si>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</si>
  <si>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</si>
  <si>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</si>
  <si>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</si>
  <si>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</si>
  <si>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</si>
  <si>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</si>
  <si>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</si>
  <si>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</si>
  <si>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</si>
  <si>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</si>
  <si>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</si>
  <si>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</si>
  <si>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</si>
  <si>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</si>
  <si>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</si>
  <si>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</si>
  <si>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</si>
  <si>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</si>
  <si>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</si>
  <si>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</si>
  <si>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</si>
  <si>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</si>
  <si>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</si>
  <si>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</si>
  <si>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</si>
  <si>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</si>
  <si>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</si>
  <si>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</si>
  <si>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</si>
  <si>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</si>
  <si>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</si>
  <si>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</si>
  <si>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</si>
  <si>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</si>
  <si>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</si>
  <si>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</si>
  <si>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</si>
  <si>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</si>
  <si>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</si>
  <si>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</si>
  <si>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</si>
  <si>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</si>
  <si>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</si>
  <si>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</si>
  <si>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</si>
  <si>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</si>
  <si>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</si>
  <si>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</si>
  <si>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</si>
  <si>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</si>
  <si>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</si>
  <si>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</si>
  <si>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</si>
  <si>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</si>
  <si>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</si>
  <si>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</si>
  <si>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</si>
  <si>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</si>
  <si>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</si>
  <si>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</si>
  <si>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</si>
  <si>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</si>
  <si>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</si>
  <si>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</si>
  <si>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</si>
  <si>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</si>
  <si>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</si>
  <si>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</si>
  <si>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</si>
  <si>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</si>
  <si>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</si>
  <si>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</si>
  <si>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</si>
  <si>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</si>
  <si>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</si>
  <si>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</si>
  <si>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</si>
  <si>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</si>
  <si>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</si>
  <si>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</si>
  <si>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</si>
  <si>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</si>
  <si>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</si>
  <si>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</si>
  <si>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</si>
  <si>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</si>
  <si>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</si>
  <si>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</si>
  <si>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</si>
  <si>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</si>
  <si>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</si>
  <si>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</si>
  <si>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</si>
  <si>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</si>
  <si>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</si>
  <si>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</si>
  <si>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</si>
  <si>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</si>
  <si>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</si>
  <si>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</si>
  <si>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</si>
  <si>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</si>
  <si>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</si>
  <si>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</si>
  <si>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</si>
  <si>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</si>
  <si>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</si>
  <si>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</si>
  <si>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</si>
  <si>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</si>
  <si>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</si>
  <si>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</si>
  <si>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</si>
  <si>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</si>
  <si>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</si>
  <si>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</si>
  <si>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</si>
  <si>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</si>
  <si>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</si>
  <si>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</si>
  <si>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</si>
  <si>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</si>
  <si>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</si>
  <si>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</si>
  <si>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</si>
  <si>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</si>
  <si>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</si>
  <si>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</si>
  <si>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</si>
  <si>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</si>
  <si>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</si>
  <si>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</si>
  <si>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</si>
  <si>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</si>
  <si>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</si>
  <si>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</si>
  <si>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</si>
  <si>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</si>
  <si>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</si>
  <si>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</si>
  <si>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</si>
  <si>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</si>
  <si>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</si>
  <si>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</si>
  <si>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</si>
  <si>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</si>
  <si>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</si>
  <si>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</si>
  <si>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</si>
  <si>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</si>
  <si>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</si>
  <si>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</si>
  <si>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</si>
  <si>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</si>
  <si>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</si>
  <si>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</si>
  <si>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</si>
  <si>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</si>
  <si>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</si>
  <si>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</si>
  <si>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</si>
  <si>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</si>
  <si>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</si>
  <si>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</si>
  <si>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</si>
  <si>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</si>
  <si>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</si>
  <si>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</si>
  <si>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</si>
  <si>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</si>
  <si>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</si>
  <si>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</si>
  <si>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</si>
  <si>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</si>
  <si>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</si>
  <si>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</si>
  <si>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</si>
  <si>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</si>
  <si>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</si>
  <si>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</si>
  <si>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</si>
  <si>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</si>
  <si>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</si>
  <si>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</si>
  <si>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</si>
  <si>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</si>
  <si>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</si>
  <si>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</si>
  <si>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</si>
  <si>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</si>
  <si>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</si>
  <si>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</si>
  <si>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</si>
  <si>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</si>
  <si>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</si>
  <si>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</si>
  <si>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</si>
  <si>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</si>
  <si>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</si>
  <si>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</si>
  <si>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</si>
  <si>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</si>
  <si>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</si>
  <si>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</si>
  <si>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</si>
  <si>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</si>
  <si>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</si>
  <si>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</si>
  <si>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</si>
  <si>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</si>
  <si>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</si>
  <si>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</si>
  <si>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</si>
  <si>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</si>
  <si>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</si>
  <si>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</si>
  <si>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</si>
  <si>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</si>
  <si>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</si>
  <si>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</si>
  <si>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</si>
  <si>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</si>
  <si>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</si>
  <si>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</si>
  <si>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</si>
  <si>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</si>
  <si>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</si>
  <si>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</si>
  <si>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</si>
  <si>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</si>
  <si>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</si>
  <si>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</si>
  <si>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</si>
  <si>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</si>
  <si>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</si>
  <si>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</si>
  <si>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</si>
  <si>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</si>
  <si>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</si>
  <si>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</si>
  <si>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</si>
  <si>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</si>
  <si>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</si>
  <si>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</si>
  <si>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</si>
  <si>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</si>
  <si>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</si>
  <si>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</si>
  <si>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</si>
  <si>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</si>
  <si>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</si>
  <si>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</si>
  <si>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</si>
  <si>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</si>
  <si>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</si>
  <si>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</si>
  <si>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</si>
  <si>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</si>
  <si>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</si>
  <si>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</si>
  <si>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</si>
  <si>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</si>
  <si>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</si>
  <si>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</si>
  <si>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</si>
  <si>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</si>
  <si>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</si>
  <si>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</si>
  <si>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</si>
  <si>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</si>
  <si>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</si>
  <si>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</si>
  <si>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</si>
  <si>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</si>
  <si>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</si>
  <si>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</si>
  <si>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</si>
  <si>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</si>
  <si>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</si>
  <si>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</si>
  <si>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</si>
  <si>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</si>
  <si>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</si>
  <si>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</si>
  <si>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</si>
  <si>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</si>
  <si>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</si>
  <si>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</si>
  <si>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</si>
  <si>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</si>
  <si>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</si>
  <si>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</si>
  <si>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</si>
  <si>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</si>
  <si>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</si>
  <si>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</si>
  <si>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</si>
  <si>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</si>
  <si>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</si>
  <si>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</si>
  <si>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</si>
  <si>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</si>
  <si>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</si>
  <si>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</si>
  <si>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</si>
  <si>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</si>
  <si>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</si>
  <si>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</si>
  <si>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</si>
  <si>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</si>
  <si>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</si>
  <si>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</si>
  <si>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</si>
  <si>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</si>
  <si>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</si>
  <si>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</si>
  <si>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</si>
  <si>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</si>
  <si>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</si>
  <si>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</si>
  <si>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</si>
  <si>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</si>
  <si>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</si>
  <si>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</si>
  <si>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</si>
  <si>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</si>
  <si>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</si>
  <si>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</si>
  <si>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</si>
  <si>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</si>
  <si>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</si>
  <si>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</si>
  <si>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</si>
  <si>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</si>
  <si>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</si>
  <si>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</si>
  <si>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</si>
  <si>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</si>
  <si>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</si>
  <si>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</si>
  <si>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</si>
  <si>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</si>
  <si>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</si>
  <si>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</si>
  <si>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</si>
  <si>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</si>
  <si>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</si>
  <si>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</si>
  <si>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</si>
  <si>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</si>
  <si>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</si>
  <si>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</si>
  <si>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</si>
  <si>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</si>
  <si>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</si>
  <si>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</si>
  <si>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</si>
  <si>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</si>
  <si>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</si>
  <si>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</si>
  <si>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</si>
  <si>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</si>
  <si>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</si>
  <si>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</si>
  <si>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</si>
  <si>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</si>
  <si>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</si>
  <si>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</si>
  <si>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</si>
  <si>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</si>
  <si>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</si>
  <si>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</si>
  <si>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</si>
  <si>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</si>
  <si>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</si>
  <si>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</si>
  <si>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</si>
  <si>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</si>
  <si>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</si>
  <si>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</si>
  <si>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</si>
  <si>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</si>
  <si>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</si>
  <si>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</si>
  <si>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</si>
  <si>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</si>
  <si>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</si>
  <si>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</si>
  <si>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</si>
  <si>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</si>
  <si>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</si>
  <si>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</si>
  <si>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</si>
  <si>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</si>
  <si>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</si>
  <si>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</si>
  <si>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</si>
  <si>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</si>
  <si>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</si>
  <si>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</si>
  <si>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</si>
  <si>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</si>
  <si>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</si>
  <si>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</si>
  <si>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</si>
  <si>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</si>
  <si>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</si>
  <si>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</si>
  <si>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</si>
  <si>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</si>
  <si>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</si>
  <si>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</si>
  <si>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</si>
  <si>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</si>
  <si>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</si>
  <si>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</si>
  <si>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</si>
  <si>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</si>
  <si>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</si>
  <si>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</si>
  <si>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</si>
  <si>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</si>
  <si>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</si>
  <si>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</si>
  <si>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</si>
  <si>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</si>
  <si>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</si>
  <si>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</si>
  <si>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</si>
  <si>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</si>
  <si>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</si>
  <si>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</si>
  <si>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</si>
  <si>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</si>
  <si>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</si>
  <si>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</si>
  <si>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</si>
  <si>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</si>
  <si>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</si>
  <si>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</si>
  <si>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</si>
  <si>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</si>
  <si>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</si>
  <si>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</si>
  <si>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</si>
  <si>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</si>
  <si>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</si>
  <si>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</si>
  <si>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</si>
  <si>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</si>
  <si>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</si>
  <si>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</si>
  <si>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</si>
  <si>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</si>
  <si>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</si>
  <si>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</si>
  <si>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</si>
  <si>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</si>
  <si>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</si>
  <si>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</si>
  <si>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</si>
  <si>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</si>
  <si>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</si>
  <si>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</si>
  <si>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</si>
  <si>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</si>
  <si>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</si>
  <si>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</si>
  <si>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</si>
  <si>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</si>
  <si>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</si>
  <si>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</si>
  <si>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</si>
  <si>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</si>
  <si>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</si>
  <si>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</si>
  <si>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</si>
  <si>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</si>
  <si>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</si>
  <si>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</si>
  <si>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</si>
  <si>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</si>
  <si>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</si>
  <si>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</si>
  <si>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</si>
  <si>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</si>
  <si>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</si>
  <si>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</si>
  <si>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</si>
  <si>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</si>
  <si>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</si>
  <si>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</si>
  <si>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</si>
  <si>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</si>
  <si>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</si>
  <si>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</si>
  <si>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</si>
  <si>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</si>
  <si>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</si>
  <si>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</si>
  <si>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</si>
  <si>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</si>
  <si>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</si>
  <si>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</si>
  <si>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</si>
  <si>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</si>
  <si>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</si>
  <si>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</si>
  <si>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</si>
  <si>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</si>
  <si>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</si>
  <si>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</si>
  <si>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</si>
  <si>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</si>
  <si>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</si>
  <si>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</si>
  <si>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</si>
  <si>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</si>
  <si>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</si>
  <si>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</si>
  <si>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</si>
  <si>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</si>
  <si>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</si>
  <si>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</si>
  <si>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</si>
  <si>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</si>
  <si>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</si>
  <si>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</si>
  <si>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</si>
  <si>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</si>
  <si>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</si>
  <si>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</si>
  <si>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</si>
  <si>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</si>
  <si>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</si>
  <si>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</si>
  <si>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</si>
  <si>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</si>
  <si>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</si>
  <si>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</si>
  <si>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</si>
  <si>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</si>
  <si>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</si>
  <si>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</si>
  <si>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</si>
  <si>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</si>
  <si>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</si>
  <si>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</si>
  <si>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</si>
  <si>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</si>
  <si>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</si>
  <si>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</si>
  <si>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</si>
  <si>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</si>
  <si>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</si>
  <si>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</si>
  <si>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</si>
  <si>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</si>
  <si>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</si>
  <si>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</si>
  <si>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</si>
  <si>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</si>
  <si>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</si>
  <si>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</si>
  <si>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</si>
  <si>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</si>
  <si>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</si>
  <si>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</si>
  <si>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</si>
  <si>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</si>
  <si>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</si>
  <si>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</si>
  <si>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</si>
  <si>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</si>
  <si>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</si>
  <si>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</si>
  <si>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</si>
  <si>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</si>
  <si>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</si>
  <si>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</si>
  <si>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</si>
  <si>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</si>
  <si>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</si>
  <si>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</si>
  <si>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</si>
  <si>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</si>
  <si>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</si>
  <si>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</si>
  <si>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</si>
  <si>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</si>
  <si>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</si>
  <si>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</si>
  <si>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</si>
  <si>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</si>
  <si>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</si>
  <si>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</si>
  <si>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</si>
  <si>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</si>
  <si>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</si>
  <si>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</si>
  <si>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</si>
  <si>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</si>
  <si>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</si>
  <si>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</si>
  <si>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</si>
  <si>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</si>
  <si>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</si>
  <si>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</si>
  <si>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</si>
  <si>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</si>
  <si>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</si>
  <si>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</si>
  <si>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</si>
  <si>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</si>
  <si>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</si>
  <si>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</si>
  <si>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</si>
  <si>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</si>
  <si>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</si>
  <si>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</si>
  <si>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</si>
  <si>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</si>
  <si>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</si>
  <si>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</si>
  <si>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</si>
  <si>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</si>
  <si>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</si>
  <si>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</si>
  <si>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</si>
  <si>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</si>
  <si>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</si>
  <si>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</si>
  <si>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</si>
  <si>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</si>
  <si>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</si>
  <si>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</si>
  <si>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</si>
  <si>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</si>
  <si>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</si>
  <si>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</si>
  <si>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</si>
  <si>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</si>
  <si>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</si>
  <si>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</si>
  <si>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</si>
  <si>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</si>
  <si>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</si>
  <si>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</si>
  <si>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</si>
  <si>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</si>
  <si>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</si>
  <si>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</si>
  <si>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</si>
  <si>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</si>
  <si>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</si>
  <si>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</si>
  <si>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</si>
  <si>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</si>
  <si>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</si>
  <si>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</si>
  <si>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</si>
  <si>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</si>
  <si>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</si>
  <si>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</si>
  <si>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</si>
  <si>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</si>
  <si>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</si>
  <si>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</si>
  <si>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</si>
  <si>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</si>
  <si>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</si>
  <si>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</si>
  <si>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</si>
  <si>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</si>
  <si>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</si>
  <si>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</si>
  <si>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</si>
  <si>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</si>
  <si>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</si>
  <si>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</si>
  <si>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</si>
  <si>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</si>
  <si>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</si>
  <si>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</si>
  <si>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</si>
  <si>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</si>
  <si>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</si>
  <si>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</si>
  <si>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</si>
  <si>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</si>
  <si>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</si>
  <si>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</si>
  <si>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</si>
  <si>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</si>
  <si>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</si>
  <si>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</si>
  <si>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</si>
  <si>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</si>
  <si>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</si>
  <si>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</si>
  <si>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</si>
  <si>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</si>
  <si>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</si>
  <si>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</si>
  <si>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</si>
  <si>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</si>
  <si>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</si>
  <si>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</si>
  <si>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</si>
  <si>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</si>
  <si>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</si>
  <si>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</si>
  <si>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</si>
  <si>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</si>
  <si>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</si>
  <si>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</si>
  <si>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</si>
  <si>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</si>
  <si>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</si>
  <si>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</si>
  <si>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</si>
  <si>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</si>
  <si>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</si>
  <si>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</si>
  <si>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</si>
  <si>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</si>
  <si>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</si>
  <si>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</si>
  <si>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</si>
  <si>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</si>
  <si>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</si>
  <si>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</si>
  <si>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</si>
  <si>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</si>
  <si>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</si>
  <si>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</si>
  <si>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</si>
  <si>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</si>
  <si>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</si>
  <si>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</si>
  <si>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</si>
  <si>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</si>
  <si>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</si>
  <si>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</si>
  <si>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</si>
  <si>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</si>
  <si>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</si>
  <si>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</si>
  <si>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</si>
  <si>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</si>
  <si>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</si>
  <si>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</si>
  <si>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</si>
  <si>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</si>
  <si>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</si>
  <si>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</si>
  <si>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</si>
  <si>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</si>
  <si>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</si>
  <si>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</si>
  <si>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</si>
  <si>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</si>
  <si>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</si>
  <si>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</si>
  <si>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</si>
  <si>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</si>
  <si>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</si>
  <si>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</si>
  <si>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</si>
  <si>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</si>
  <si>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</si>
  <si>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</si>
  <si>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</si>
  <si>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</si>
  <si>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</si>
  <si>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</si>
  <si>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</si>
  <si>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</si>
  <si>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</si>
  <si>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</si>
  <si>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</si>
  <si>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</si>
  <si>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</si>
  <si>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</si>
  <si>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</si>
  <si>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</si>
  <si>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</si>
  <si>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</si>
  <si>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</si>
  <si>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</si>
  <si>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</si>
  <si>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</si>
  <si>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</si>
  <si>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</si>
  <si>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</si>
  <si>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</si>
  <si>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</si>
  <si>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</si>
  <si>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</si>
  <si>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</si>
  <si>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</si>
  <si>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</si>
  <si>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</si>
  <si>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</si>
  <si>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</si>
  <si>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</si>
  <si>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</si>
  <si>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</si>
  <si>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</si>
  <si>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</si>
  <si>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</si>
  <si>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</si>
  <si>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</si>
  <si>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</si>
  <si>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</si>
  <si>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</si>
  <si>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</si>
  <si>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</si>
  <si>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</si>
  <si>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</si>
  <si>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</si>
  <si>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</si>
  <si>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</si>
  <si>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</si>
  <si>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</si>
  <si>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</si>
  <si>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</si>
  <si>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</si>
  <si>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</si>
  <si>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</si>
  <si>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</si>
  <si>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</si>
  <si>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</si>
  <si>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</si>
  <si>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</si>
  <si>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</si>
  <si>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</si>
  <si>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</si>
  <si>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</si>
  <si>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</si>
  <si>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</si>
  <si>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</si>
  <si>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</si>
  <si>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</si>
  <si>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</si>
  <si>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</si>
  <si>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</si>
  <si>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</si>
  <si>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</si>
  <si>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</si>
  <si>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</si>
  <si>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</si>
  <si>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</si>
  <si>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</si>
  <si>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</si>
  <si>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</si>
  <si>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</si>
  <si>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</si>
  <si>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</si>
  <si>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</si>
  <si>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</si>
  <si>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</si>
  <si>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</si>
  <si>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</si>
  <si>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</si>
  <si>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</si>
  <si>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</si>
  <si>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</si>
  <si>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</si>
  <si>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</si>
  <si>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</si>
  <si>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</si>
  <si>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</si>
  <si>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</si>
  <si>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</si>
  <si>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</si>
  <si>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</si>
  <si>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</si>
  <si>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</si>
  <si>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</si>
  <si>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</si>
  <si>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</si>
  <si>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</si>
  <si>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</si>
  <si>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</si>
  <si>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</si>
  <si>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</si>
  <si>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</si>
  <si>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</si>
  <si>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</si>
  <si>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</si>
  <si>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</si>
  <si>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</si>
  <si>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</si>
  <si>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</si>
  <si>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</si>
  <si>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</si>
  <si>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</si>
  <si>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</si>
  <si>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</si>
  <si>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</si>
  <si>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</si>
  <si>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</si>
  <si>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</si>
  <si>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</si>
  <si>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</si>
  <si>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</si>
  <si>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</si>
  <si>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</si>
  <si>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</si>
  <si>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</si>
  <si>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</si>
  <si>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</si>
  <si>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</si>
  <si>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</si>
  <si>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</si>
  <si>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</si>
  <si>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</si>
  <si>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</si>
  <si>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</si>
  <si>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</si>
  <si>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</si>
  <si>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</si>
  <si>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</si>
  <si>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</si>
  <si>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</si>
  <si>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</si>
  <si>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</si>
  <si>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</si>
  <si>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</si>
  <si>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</si>
  <si>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</si>
  <si>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</si>
  <si>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</si>
  <si>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</si>
  <si>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</si>
  <si>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</si>
  <si>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</si>
  <si>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</si>
  <si>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</si>
  <si>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</si>
  <si>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</si>
  <si>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</si>
  <si>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</si>
  <si>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</si>
  <si>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</si>
  <si>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</si>
  <si>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</si>
  <si>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</si>
  <si>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</si>
  <si>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</si>
  <si>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</si>
  <si>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</si>
  <si>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</si>
  <si>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</si>
  <si>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</si>
  <si>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</si>
  <si>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</si>
  <si>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</si>
  <si>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</si>
  <si>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</si>
  <si>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</si>
  <si>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</si>
  <si>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</si>
  <si>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</si>
  <si>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</si>
  <si>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</si>
  <si>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</si>
  <si>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</si>
  <si>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</si>
  <si>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</si>
  <si>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</si>
  <si>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</si>
  <si>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</si>
  <si>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</si>
  <si>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</si>
  <si>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</si>
  <si>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</si>
  <si>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</si>
  <si>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</si>
  <si>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</si>
  <si>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</si>
  <si>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</si>
  <si>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</si>
  <si>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</si>
  <si>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</si>
  <si>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</si>
  <si>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</si>
  <si>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</si>
  <si>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</si>
  <si>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</si>
  <si>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</si>
  <si>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</si>
  <si>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</si>
  <si>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</si>
  <si>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</si>
  <si>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</si>
  <si>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</si>
  <si>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</si>
  <si>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</si>
  <si>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</si>
  <si>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</si>
  <si>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</si>
  <si>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</si>
  <si>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</si>
  <si>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</si>
  <si>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</si>
  <si>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</si>
  <si>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</si>
  <si>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</si>
  <si>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</si>
  <si>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</si>
  <si>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</si>
  <si>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</si>
  <si>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</si>
  <si>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</si>
  <si>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</si>
  <si>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</si>
  <si>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</si>
  <si>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</si>
  <si>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</si>
  <si>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</si>
  <si>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</si>
  <si>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</si>
  <si>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</si>
  <si>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</si>
  <si>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</si>
  <si>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</si>
  <si>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</si>
  <si>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</si>
  <si>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</si>
  <si>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</si>
  <si>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</si>
  <si>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</si>
  <si>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</si>
  <si>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</si>
  <si>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</si>
  <si>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</si>
  <si>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</si>
  <si>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</si>
  <si>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</si>
  <si>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</si>
  <si>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</si>
  <si>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</si>
  <si>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</si>
  <si>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</si>
  <si>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</si>
  <si>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</si>
  <si>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</si>
  <si>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</si>
  <si>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</si>
  <si>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</si>
  <si>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</si>
  <si>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</si>
  <si>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</si>
  <si>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</si>
  <si>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</si>
  <si>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</si>
  <si>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</si>
  <si>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</si>
  <si>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</si>
  <si>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</si>
  <si>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</si>
  <si>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</si>
  <si>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</si>
  <si>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</si>
  <si>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</si>
  <si>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</si>
  <si>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</si>
  <si>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</si>
  <si>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</si>
  <si>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</si>
  <si>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</si>
  <si>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</si>
  <si>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</si>
  <si>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</si>
  <si>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</si>
  <si>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</si>
  <si>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</si>
  <si>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</si>
  <si>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</si>
  <si>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</si>
  <si>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</si>
  <si>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</si>
  <si>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</si>
  <si>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</si>
  <si>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</si>
  <si>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</si>
  <si>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</si>
  <si>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</si>
  <si>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</si>
  <si>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</si>
  <si>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</si>
  <si>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</si>
  <si>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</si>
  <si>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</si>
  <si>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</si>
  <si>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</si>
  <si>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</si>
  <si>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</si>
  <si>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</si>
  <si>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</si>
  <si>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</si>
  <si>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</si>
  <si>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</si>
  <si>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</si>
  <si>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</si>
  <si>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</si>
  <si>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</si>
  <si>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</si>
  <si>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</si>
  <si>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</si>
  <si>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</si>
  <si>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</si>
  <si>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</si>
  <si>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</si>
  <si>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</si>
  <si>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</si>
  <si>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</si>
  <si>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</si>
  <si>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</si>
  <si>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</si>
  <si>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</si>
  <si>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</si>
  <si>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</si>
  <si>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</si>
  <si>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</si>
  <si>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</si>
  <si>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</si>
  <si>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</si>
  <si>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</si>
  <si>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</si>
  <si>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</si>
  <si>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</si>
  <si>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</si>
  <si>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</si>
  <si>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</si>
  <si>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</si>
  <si>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</si>
  <si>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</si>
  <si>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</si>
  <si>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</si>
  <si>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</si>
  <si>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</si>
  <si>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</si>
  <si>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</si>
  <si>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</si>
  <si>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</si>
  <si>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</si>
  <si>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</si>
  <si>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</si>
  <si>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</si>
  <si>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</si>
  <si>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</si>
  <si>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</si>
  <si>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</si>
  <si>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</si>
  <si>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</si>
  <si>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</si>
  <si>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</si>
  <si>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</si>
  <si>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</si>
  <si>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</si>
  <si>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</si>
  <si>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</si>
  <si>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</si>
  <si>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</si>
  <si>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</si>
  <si>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</si>
  <si>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</si>
  <si>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</si>
  <si>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</si>
  <si>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</si>
  <si>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</si>
  <si>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</si>
  <si>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</si>
  <si>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</si>
  <si>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</si>
  <si>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</si>
  <si>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</si>
  <si>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</si>
  <si>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</si>
  <si>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</si>
  <si>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</si>
  <si>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</si>
  <si>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</si>
  <si>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</si>
  <si>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</si>
  <si>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</si>
  <si>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</si>
  <si>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</si>
  <si>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</si>
  <si>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</si>
  <si>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</si>
  <si>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</si>
  <si>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</si>
  <si>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</si>
  <si>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</si>
  <si>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</si>
  <si>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</si>
  <si>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</si>
  <si>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</si>
  <si>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</si>
  <si>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</si>
  <si>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</si>
  <si>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</si>
  <si>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</si>
  <si>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</si>
  <si>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</si>
  <si>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</si>
  <si>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</si>
  <si>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</si>
  <si>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</si>
  <si>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</si>
  <si>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</si>
  <si>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</si>
  <si>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</si>
  <si>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</si>
  <si>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</si>
  <si>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</si>
  <si>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</si>
  <si>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</si>
  <si>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</si>
  <si>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</si>
  <si>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</si>
  <si>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</si>
  <si>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</si>
  <si>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</si>
  <si>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</si>
  <si>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</si>
  <si>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</si>
  <si>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</si>
  <si>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</si>
  <si>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</si>
  <si>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</si>
  <si>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</si>
  <si>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</si>
  <si>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</si>
  <si>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</si>
  <si>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</si>
  <si>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</si>
  <si>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</si>
  <si>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</si>
  <si>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</si>
  <si>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</si>
  <si>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</si>
  <si>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</si>
  <si>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</si>
  <si>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</si>
  <si>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</si>
  <si>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</si>
  <si>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</si>
  <si>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</si>
  <si>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</si>
  <si>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</si>
  <si>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</si>
  <si>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</si>
  <si>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</si>
  <si>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</si>
  <si>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</si>
  <si>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</si>
  <si>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</si>
  <si>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</si>
  <si>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</si>
  <si>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</si>
  <si>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</si>
  <si>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</si>
  <si>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</si>
  <si>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</si>
  <si>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</si>
  <si>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</si>
  <si>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</si>
  <si>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</si>
  <si>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</si>
  <si>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</si>
  <si>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</si>
  <si>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</si>
  <si>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</si>
  <si>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</si>
  <si>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</si>
  <si>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</si>
  <si>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</si>
  <si>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</si>
  <si>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</si>
  <si>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</si>
  <si>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</si>
  <si>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</si>
  <si>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</si>
  <si>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</si>
  <si>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</si>
  <si>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</si>
  <si>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</si>
  <si>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</si>
  <si>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</si>
  <si>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</si>
  <si>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</si>
  <si>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</si>
  <si>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</si>
  <si>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</si>
  <si>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</si>
  <si>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</si>
  <si>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</si>
  <si>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</si>
  <si>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</si>
  <si>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</si>
  <si>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</si>
  <si>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</si>
  <si>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</si>
  <si>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</si>
  <si>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</si>
  <si>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</si>
  <si>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</si>
  <si>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</si>
  <si>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</si>
  <si>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</si>
  <si>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</si>
  <si>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</si>
  <si>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</si>
  <si>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</si>
  <si>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</si>
  <si>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</si>
  <si>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</si>
  <si>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</si>
  <si>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</si>
  <si>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</si>
  <si>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</si>
  <si>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</si>
  <si>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</si>
  <si>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</si>
  <si>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</si>
  <si>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</si>
  <si>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</si>
  <si>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</si>
  <si>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</si>
  <si>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</si>
  <si>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</si>
  <si>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</si>
  <si>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</si>
  <si>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</si>
  <si>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</si>
  <si>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</si>
  <si>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</si>
  <si>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</si>
  <si>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</si>
  <si>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</si>
  <si>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</si>
  <si>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</si>
  <si>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</si>
  <si>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</si>
  <si>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</si>
  <si>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</si>
  <si>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</si>
  <si>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</si>
  <si>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</si>
  <si>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</si>
  <si>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</si>
  <si>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</si>
  <si>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</si>
  <si>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</si>
  <si>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</si>
  <si>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</si>
  <si>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</si>
  <si>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</si>
  <si>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</si>
  <si>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</si>
  <si>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</si>
  <si>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</si>
  <si>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</si>
  <si>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</si>
  <si>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</si>
  <si>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</si>
  <si>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</si>
  <si>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</si>
  <si>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</si>
  <si>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</si>
  <si>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</si>
  <si>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</si>
  <si>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</si>
  <si>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</si>
  <si>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</si>
  <si>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</si>
  <si>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</si>
  <si>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</si>
  <si>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</si>
  <si>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</si>
  <si>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</si>
  <si>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</si>
  <si>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</si>
  <si>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</si>
  <si>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</si>
  <si>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</si>
  <si>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</si>
  <si>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</si>
  <si>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</si>
  <si>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</si>
  <si>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</si>
  <si>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</si>
  <si>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</si>
  <si>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</si>
  <si>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</si>
  <si>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</si>
  <si>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</si>
  <si>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</si>
  <si>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</si>
  <si>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</si>
  <si>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</si>
  <si>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</si>
  <si>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</si>
  <si>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</si>
  <si>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</si>
  <si>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</si>
  <si>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</si>
  <si>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</si>
  <si>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</si>
  <si>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</si>
  <si>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</si>
  <si>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</si>
  <si>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</si>
  <si>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</si>
  <si>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</si>
  <si>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</si>
  <si>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</si>
  <si>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</si>
  <si>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</si>
  <si>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</si>
  <si>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</si>
  <si>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</si>
  <si>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</si>
  <si>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</si>
  <si>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</si>
  <si>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</si>
  <si>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</si>
  <si>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</si>
  <si>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</si>
  <si>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</si>
  <si>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</si>
  <si>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</si>
  <si>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</si>
  <si>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</si>
  <si>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</si>
  <si>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</si>
  <si>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</si>
  <si>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</si>
  <si>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</si>
  <si>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</si>
  <si>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</si>
  <si>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</si>
  <si>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</si>
  <si>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</si>
  <si>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</si>
  <si>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</si>
  <si>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</si>
  <si>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</si>
  <si>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</si>
  <si>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</si>
  <si>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</si>
  <si>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</si>
  <si>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</si>
  <si>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</si>
  <si>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</si>
  <si>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</si>
  <si>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</si>
  <si>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</si>
  <si>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</si>
  <si>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</si>
  <si>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</si>
  <si>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</si>
  <si>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</si>
  <si>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</si>
  <si>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</si>
  <si>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</si>
  <si>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</si>
  <si>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</si>
  <si>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</si>
  <si>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</si>
  <si>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</si>
  <si>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</si>
  <si>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</si>
  <si>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</si>
  <si>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</si>
  <si>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</si>
  <si>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</si>
  <si>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</si>
  <si>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</si>
  <si>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</si>
  <si>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</si>
  <si>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</si>
  <si>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</si>
  <si>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</si>
  <si>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</si>
  <si>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</si>
  <si>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</si>
  <si>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</si>
  <si>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</si>
  <si>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</si>
  <si>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</si>
  <si>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</si>
  <si>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</si>
  <si>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</si>
  <si>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</si>
  <si>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</si>
  <si>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</si>
  <si>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</si>
  <si>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</si>
  <si>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</si>
  <si>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</si>
  <si>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</si>
  <si>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</si>
  <si>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</si>
  <si>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</si>
  <si>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</si>
  <si>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</si>
  <si>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</si>
  <si>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</si>
  <si>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</si>
  <si>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</si>
  <si>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</si>
  <si>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</si>
  <si>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</si>
  <si>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</si>
  <si>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</si>
  <si>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</si>
  <si>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</si>
  <si>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</si>
  <si>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</si>
  <si>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</si>
  <si>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</si>
  <si>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</si>
  <si>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</si>
  <si>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</si>
  <si>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</si>
  <si>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</si>
  <si>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</si>
  <si>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</si>
  <si>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</si>
  <si>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</si>
  <si>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</si>
  <si>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</si>
  <si>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</si>
  <si>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</si>
  <si>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</si>
  <si>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</si>
  <si>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</si>
  <si>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</si>
  <si>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</si>
  <si>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</si>
  <si>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</si>
  <si>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</si>
  <si>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</si>
  <si>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</si>
  <si>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</si>
  <si>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</si>
  <si>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</si>
  <si>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</si>
  <si>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</si>
  <si>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</si>
  <si>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</si>
  <si>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</si>
  <si>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</si>
  <si>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</si>
  <si>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</si>
  <si>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</si>
  <si>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</si>
  <si>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</si>
  <si>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</si>
  <si>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</si>
  <si>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</si>
  <si>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</si>
  <si>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</si>
  <si>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</si>
  <si>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</si>
  <si>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</si>
  <si>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</si>
  <si>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</si>
  <si>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</si>
  <si>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</si>
  <si>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</si>
  <si>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</si>
  <si>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</si>
  <si>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</si>
  <si>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</si>
  <si>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</si>
  <si>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</si>
  <si>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</si>
  <si>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</si>
  <si>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</si>
  <si>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</si>
  <si>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</si>
  <si>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</si>
  <si>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</si>
  <si>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</si>
  <si>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</si>
  <si>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</si>
  <si>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</si>
  <si>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</si>
  <si>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</si>
  <si>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</si>
  <si>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</si>
  <si>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</si>
  <si>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</si>
  <si>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</si>
  <si>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</si>
  <si>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</si>
  <si>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</si>
  <si>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</si>
  <si>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</si>
  <si>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</si>
  <si>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</si>
  <si>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</si>
  <si>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</si>
  <si>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</si>
  <si>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</si>
  <si>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</si>
  <si>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</si>
  <si>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</si>
  <si>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</si>
  <si>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</si>
  <si>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</si>
  <si>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</si>
  <si>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</si>
  <si>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</si>
  <si>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</si>
  <si>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</si>
  <si>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</si>
  <si>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</si>
  <si>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</si>
  <si>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</si>
  <si>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</si>
  <si>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</si>
  <si>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</si>
  <si>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</si>
  <si>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</si>
  <si>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</si>
  <si>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</si>
  <si>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</si>
  <si>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</si>
  <si>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</si>
  <si>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</si>
  <si>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</si>
  <si>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</si>
  <si>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</si>
  <si>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</si>
  <si>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</si>
  <si>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</si>
  <si>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</si>
  <si>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</si>
  <si>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</si>
  <si>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</si>
  <si>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</si>
  <si>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</si>
  <si>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</si>
  <si>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</si>
  <si>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</si>
  <si>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</si>
  <si>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</si>
  <si>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</si>
  <si>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</si>
  <si>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</si>
  <si>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</si>
  <si>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</si>
  <si>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</si>
  <si>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</si>
  <si>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</si>
  <si>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</si>
  <si>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</si>
  <si>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</si>
  <si>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</si>
  <si>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</si>
  <si>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</si>
  <si>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</si>
  <si>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</si>
  <si>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</si>
  <si>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</si>
  <si>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</si>
  <si>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</si>
  <si>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</si>
  <si>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</si>
  <si>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</si>
  <si>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</si>
  <si>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</si>
  <si>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</si>
  <si>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</si>
  <si>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</si>
  <si>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</si>
  <si>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</si>
  <si>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</si>
  <si>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</si>
  <si>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</si>
  <si>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</si>
  <si>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</si>
  <si>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</si>
  <si>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</si>
  <si>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</si>
  <si>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</si>
  <si>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</si>
  <si>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</si>
  <si>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</si>
  <si>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</si>
  <si>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</si>
  <si>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</si>
  <si>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</si>
  <si>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</si>
  <si>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</si>
  <si>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</si>
  <si>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</si>
  <si>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</si>
  <si>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</si>
  <si>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</si>
  <si>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</si>
  <si>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</si>
  <si>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</si>
  <si>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</si>
  <si>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</si>
  <si>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</si>
  <si>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</si>
  <si>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</si>
  <si>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</si>
  <si>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</si>
  <si>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</si>
  <si>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</si>
  <si>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</si>
  <si>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</si>
  <si>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</si>
  <si>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</si>
  <si>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</si>
  <si>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</si>
  <si>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E Smith Contractors, LLC</t>
  </si>
  <si>
    <t>731 James Street Suit # 223A  Syrcuse , NY 13203</t>
  </si>
  <si>
    <t>Shayna Copes</t>
  </si>
  <si>
    <t>Comptroller</t>
  </si>
  <si>
    <t>Drywall and Ceiling Tile Installers</t>
  </si>
  <si>
    <t>47-8081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</si>
</sst>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304800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25</xdr:col>
          <xdr:colOff>522144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zoomScale="55" zoomScaleNormal="55" zoomScaleSheetLayoutView="40" zoomScalePageLayoutView="96" workbookViewId="0">
      <selection activeCell="X9" sqref="X9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3.140625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49" t="s">
        <v>322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48" t="s">
        <v>321</v>
      </c>
      <c r="J5" s="148"/>
      <c r="K5" s="148"/>
      <c r="L5" s="148"/>
      <c r="M5" s="148"/>
      <c r="N5" s="148"/>
      <c r="O5" s="148"/>
      <c r="P5" s="148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3"/>
      <c r="F6" s="161"/>
      <c r="G6" s="131"/>
      <c r="H6" s="40"/>
      <c r="I6" s="161"/>
      <c r="J6" s="161"/>
      <c r="K6" s="161"/>
      <c r="L6" s="161"/>
      <c r="M6" s="161"/>
      <c r="N6" s="161"/>
      <c r="O6" s="161"/>
      <c r="P6" s="161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59"/>
      <c r="N7" s="159"/>
      <c r="O7" s="159"/>
      <c r="P7" s="159"/>
      <c r="Q7" s="131"/>
      <c r="R7" s="71"/>
      <c r="S7" s="43" t="s">
        <v>6</v>
      </c>
      <c r="T7" s="115"/>
      <c r="U7" s="70"/>
      <c r="V7" s="2"/>
      <c r="W7" s="2"/>
      <c r="X7" s="150" t="s">
        <v>1839</v>
      </c>
      <c r="Y7" s="154"/>
      <c r="Z7" s="154"/>
      <c r="AA7" s="154"/>
      <c r="AB7" s="154"/>
      <c r="AC7" s="154"/>
      <c r="AD7" s="154"/>
      <c r="AE7" s="155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0" t="s">
        <v>1837</v>
      </c>
      <c r="E8" s="160"/>
      <c r="F8" s="160"/>
      <c r="G8" s="70"/>
      <c r="H8" s="41"/>
      <c r="I8" s="137"/>
      <c r="J8" s="162"/>
      <c r="K8" s="138"/>
      <c r="L8" s="137"/>
      <c r="M8" s="138"/>
      <c r="N8" s="130"/>
      <c r="O8" s="137"/>
      <c r="P8" s="138"/>
      <c r="Q8" s="131"/>
      <c r="R8" s="38"/>
      <c r="S8" s="43" t="s">
        <v>7</v>
      </c>
      <c r="T8" s="115"/>
      <c r="U8" s="53"/>
      <c r="V8" s="2"/>
      <c r="W8" s="2"/>
      <c r="X8" s="156" t="s">
        <v>1840</v>
      </c>
      <c r="Y8" s="157"/>
      <c r="Z8" s="157"/>
      <c r="AA8" s="157"/>
      <c r="AB8" s="157"/>
      <c r="AC8" s="157"/>
      <c r="AD8" s="157"/>
      <c r="AE8" s="158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0" t="s">
        <v>1838</v>
      </c>
      <c r="E9" s="160"/>
      <c r="F9" s="160"/>
      <c r="G9" s="70"/>
      <c r="H9" s="41"/>
      <c r="I9" s="137"/>
      <c r="J9" s="162"/>
      <c r="K9" s="138"/>
      <c r="L9" s="137"/>
      <c r="M9" s="138"/>
      <c r="N9" s="130"/>
      <c r="O9" s="137"/>
      <c r="P9" s="138"/>
      <c r="Q9" s="131"/>
      <c r="R9" s="38"/>
      <c r="S9" s="43" t="s">
        <v>8</v>
      </c>
      <c r="T9" s="115"/>
      <c r="U9" s="70"/>
      <c r="V9" s="2"/>
      <c r="W9" s="2"/>
      <c r="X9" s="136">
        <v>43250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/>
      <c r="E10" s="32"/>
      <c r="F10" s="32"/>
      <c r="G10" s="70"/>
      <c r="H10" s="41"/>
      <c r="I10" s="164"/>
      <c r="J10" s="164"/>
      <c r="K10" s="164"/>
      <c r="L10" s="164"/>
      <c r="M10" s="164"/>
      <c r="N10" s="126"/>
      <c r="O10" s="164"/>
      <c r="P10" s="164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1"/>
      <c r="E11" s="172"/>
      <c r="F11" s="173"/>
      <c r="G11" s="53"/>
      <c r="H11" s="41"/>
      <c r="I11" s="164"/>
      <c r="J11" s="164"/>
      <c r="K11" s="164"/>
      <c r="L11" s="164"/>
      <c r="M11" s="164"/>
      <c r="N11" s="126"/>
      <c r="O11" s="164"/>
      <c r="P11" s="164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0"/>
      <c r="E13" s="151"/>
      <c r="F13" s="152"/>
      <c r="G13" s="114"/>
      <c r="H13" s="41"/>
      <c r="I13" s="166" t="s">
        <v>5</v>
      </c>
      <c r="J13" s="166"/>
      <c r="K13" s="166"/>
      <c r="L13" s="166"/>
      <c r="M13" s="166"/>
      <c r="N13" s="166"/>
      <c r="O13" s="166"/>
      <c r="P13" s="166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0" t="s">
        <v>1835</v>
      </c>
      <c r="E14" s="160"/>
      <c r="F14" s="160"/>
      <c r="G14" s="70"/>
      <c r="H14" s="41"/>
      <c r="I14" s="164"/>
      <c r="J14" s="164"/>
      <c r="K14" s="164"/>
      <c r="L14" s="164"/>
      <c r="M14" s="164"/>
      <c r="N14" s="164"/>
      <c r="O14" s="164"/>
      <c r="P14" s="164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64"/>
      <c r="J15" s="164"/>
      <c r="K15" s="164"/>
      <c r="L15" s="164"/>
      <c r="M15" s="164"/>
      <c r="N15" s="164"/>
      <c r="O15" s="164"/>
      <c r="P15" s="164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7" t="s">
        <v>11</v>
      </c>
      <c r="D18" s="169" t="s">
        <v>9</v>
      </c>
      <c r="E18" s="167" t="s">
        <v>10</v>
      </c>
      <c r="F18" s="185" t="s">
        <v>1825</v>
      </c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7"/>
      <c r="AJ18" s="2"/>
      <c r="AK18" s="2"/>
    </row>
    <row r="19" spans="1:37" ht="46.5" customHeight="1" thickBot="1" x14ac:dyDescent="0.3">
      <c r="A19" s="2"/>
      <c r="B19" s="2"/>
      <c r="C19" s="168"/>
      <c r="D19" s="170"/>
      <c r="E19" s="168"/>
      <c r="F19" s="143" t="s">
        <v>1</v>
      </c>
      <c r="G19" s="143"/>
      <c r="H19" s="143"/>
      <c r="I19" s="143"/>
      <c r="J19" s="143"/>
      <c r="K19" s="144"/>
      <c r="L19" s="142" t="s">
        <v>13</v>
      </c>
      <c r="M19" s="143"/>
      <c r="N19" s="143"/>
      <c r="O19" s="143"/>
      <c r="P19" s="143"/>
      <c r="Q19" s="144"/>
      <c r="R19" s="142" t="s">
        <v>12</v>
      </c>
      <c r="S19" s="143"/>
      <c r="T19" s="143"/>
      <c r="U19" s="143"/>
      <c r="V19" s="143"/>
      <c r="W19" s="144"/>
      <c r="X19" s="145" t="s">
        <v>1826</v>
      </c>
      <c r="Y19" s="146"/>
      <c r="Z19" s="146"/>
      <c r="AA19" s="146"/>
      <c r="AB19" s="146"/>
      <c r="AC19" s="147"/>
      <c r="AD19" s="180" t="s">
        <v>14</v>
      </c>
      <c r="AE19" s="181"/>
      <c r="AF19" s="181"/>
      <c r="AG19" s="181"/>
      <c r="AH19" s="181"/>
      <c r="AI19" s="182"/>
      <c r="AJ19" s="2"/>
      <c r="AK19" s="2"/>
    </row>
    <row r="20" spans="1:37" ht="15.75" thickBot="1" x14ac:dyDescent="0.3">
      <c r="A20" s="2"/>
      <c r="B20" s="2"/>
      <c r="C20" s="168"/>
      <c r="D20" s="170"/>
      <c r="E20" s="168"/>
      <c r="F20" s="140" t="s">
        <v>2</v>
      </c>
      <c r="G20" s="140"/>
      <c r="H20" s="141"/>
      <c r="I20" s="139" t="s">
        <v>3</v>
      </c>
      <c r="J20" s="140"/>
      <c r="K20" s="141"/>
      <c r="L20" s="139" t="s">
        <v>2</v>
      </c>
      <c r="M20" s="140"/>
      <c r="N20" s="141"/>
      <c r="O20" s="139" t="s">
        <v>3</v>
      </c>
      <c r="P20" s="140"/>
      <c r="Q20" s="141"/>
      <c r="R20" s="139" t="s">
        <v>2</v>
      </c>
      <c r="S20" s="140"/>
      <c r="T20" s="141"/>
      <c r="U20" s="139" t="s">
        <v>3</v>
      </c>
      <c r="V20" s="140"/>
      <c r="W20" s="141"/>
      <c r="X20" s="139" t="s">
        <v>2</v>
      </c>
      <c r="Y20" s="140"/>
      <c r="Z20" s="141"/>
      <c r="AA20" s="139" t="s">
        <v>3</v>
      </c>
      <c r="AB20" s="140"/>
      <c r="AC20" s="141"/>
      <c r="AD20" s="139" t="s">
        <v>2</v>
      </c>
      <c r="AE20" s="140"/>
      <c r="AF20" s="141"/>
      <c r="AG20" s="139" t="s">
        <v>3</v>
      </c>
      <c r="AH20" s="140"/>
      <c r="AI20" s="141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1841</v>
      </c>
      <c r="E22" s="92" t="s">
        <v>1842</v>
      </c>
      <c r="F22" s="96">
        <v>2</v>
      </c>
      <c r="G22" s="96">
        <f>21.5+40+32+16.25+38.75+32</f>
        <v>180.5</v>
      </c>
      <c r="H22" s="94">
        <f>982.55+1828+1462.5+223.11+532.04+439.36</f>
        <v>5467.5599999999995</v>
      </c>
      <c r="I22" s="96"/>
      <c r="J22" s="96"/>
      <c r="K22" s="94"/>
      <c r="L22" s="97">
        <v>1</v>
      </c>
      <c r="M22" s="97">
        <f>21.5+32+12</f>
        <v>65.5</v>
      </c>
      <c r="N22" s="116">
        <f>982.55+1462.5+548.4</f>
        <v>2993.4500000000003</v>
      </c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53"/>
      <c r="D38" s="153"/>
      <c r="E38" s="153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3"/>
      <c r="T38" s="183"/>
      <c r="U38" s="184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2</v>
      </c>
      <c r="G39" s="95">
        <f>SUM(G22:G37)</f>
        <v>180.5</v>
      </c>
      <c r="H39" s="113">
        <f>SUM(H22:H37)</f>
        <v>5467.5599999999995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1</v>
      </c>
      <c r="M39" s="95">
        <f t="shared" si="0"/>
        <v>65.5</v>
      </c>
      <c r="N39" s="113">
        <f>SUM(N22:N37)</f>
        <v>2993.4500000000003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5"/>
      <c r="D42" s="165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4" t="s">
        <v>1829</v>
      </c>
      <c r="D43" s="175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6"/>
      <c r="D44" s="177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6"/>
      <c r="D45" s="177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6"/>
      <c r="D46" s="177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78"/>
      <c r="D47" s="179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rintOptions horizontalCentered="1" verticalCentered="1"/>
  <pageMargins left="0.2" right="0.2" top="0.25" bottom="0.25" header="0.3" footer="0.3"/>
  <pageSetup paperSize="5"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304800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25</xdr:col>
                    <xdr:colOff>514350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4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4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45" x14ac:dyDescent="0.25">
      <c r="D47" s="9"/>
      <c r="E47" s="11"/>
      <c r="F47" s="14"/>
      <c r="G47" s="17" t="s">
        <v>197</v>
      </c>
      <c r="H47" s="21" t="s">
        <v>78</v>
      </c>
    </row>
    <row r="48" spans="3:9" ht="4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4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56.2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33.7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33.7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ht="22.5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33.7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ht="22.5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4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33.7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ht="22.5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ht="22.5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SoGone</cp:lastModifiedBy>
  <cp:lastPrinted>2018-03-13T18:31:28Z</cp:lastPrinted>
  <dcterms:created xsi:type="dcterms:W3CDTF">2016-01-07T15:16:02Z</dcterms:created>
  <dcterms:modified xsi:type="dcterms:W3CDTF">2018-05-30T18:44:30Z</dcterms:modified>
</cp:coreProperties>
</file>