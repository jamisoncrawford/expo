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G:\VALERIE\Project Forms\1736 NYS Fairgrounds\"/>
    </mc:Choice>
  </mc:AlternateContent>
  <xr:revisionPtr revIDLastSave="0" documentId="13_ncr:1_{27E345C1-4BF8-401E-B826-B0E8DD85FA88}" xr6:coauthVersionLast="32" xr6:coauthVersionMax="32" xr10:uidLastSave="{00000000-0000-0000-0000-000000000000}"/>
  <bookViews>
    <workbookView xWindow="0" yWindow="0" windowWidth="20430" windowHeight="747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<sst xmlns="http://schemas.openxmlformats.org/spreadsheetml/2006/main" count="2105" uniqueCount="1844">
  <si>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</si>
  <si>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</si>
  <si>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</si>
  <si>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</si>
  <si>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</si>
  <si>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</si>
  <si>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</si>
  <si>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</si>
  <si>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</si>
  <si>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</si>
  <si>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</si>
  <si>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</si>
  <si>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</si>
  <si>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</si>
  <si>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</si>
  <si>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</si>
  <si>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</si>
  <si>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</si>
  <si>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</si>
  <si>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</si>
  <si>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</si>
  <si>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</si>
  <si>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</si>
  <si>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</si>
  <si>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</si>
  <si>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</si>
  <si>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</si>
  <si>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</si>
  <si>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</si>
  <si>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</si>
  <si>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</si>
  <si>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</si>
  <si>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</si>
  <si>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</si>
  <si>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</si>
  <si>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</si>
  <si>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</si>
  <si>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</si>
  <si>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</si>
  <si>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</si>
  <si>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</si>
  <si>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</si>
  <si>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</si>
  <si>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</si>
  <si>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</si>
  <si>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</si>
  <si>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</si>
  <si>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</si>
  <si>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</si>
  <si>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</si>
  <si>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</si>
  <si>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</si>
  <si>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</si>
  <si>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</si>
  <si>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</si>
  <si>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</si>
  <si>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</si>
  <si>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</si>
  <si>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</si>
  <si>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</si>
  <si>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</si>
  <si>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</si>
  <si>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</si>
  <si>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</si>
  <si>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</si>
  <si>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</si>
  <si>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</si>
  <si>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</si>
  <si>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</si>
  <si>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</si>
  <si>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</si>
  <si>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</si>
  <si>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</si>
  <si>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</si>
  <si>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</si>
  <si>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</si>
  <si>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</si>
  <si>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</si>
  <si>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</si>
  <si>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</si>
  <si>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</si>
  <si>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</si>
  <si>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</si>
  <si>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</si>
  <si>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</si>
  <si>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</si>
  <si>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</si>
  <si>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</si>
  <si>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</si>
  <si>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</si>
  <si>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</si>
  <si>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</si>
  <si>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</si>
  <si>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</si>
  <si>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</si>
  <si>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</si>
  <si>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</si>
  <si>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</si>
  <si>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</si>
  <si>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</si>
  <si>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</si>
  <si>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</si>
  <si>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</si>
  <si>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</si>
  <si>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</si>
  <si>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</si>
  <si>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</si>
  <si>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</si>
  <si>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</si>
  <si>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</si>
  <si>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</si>
  <si>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</si>
  <si>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</si>
  <si>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</si>
  <si>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</si>
  <si>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</si>
  <si>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</si>
  <si>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</si>
  <si>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</si>
  <si>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</si>
  <si>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</si>
  <si>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</si>
  <si>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</si>
  <si>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</si>
  <si>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</si>
  <si>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</si>
  <si>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</si>
  <si>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</si>
  <si>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</si>
  <si>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</si>
  <si>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</si>
  <si>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</si>
  <si>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</si>
  <si>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</si>
  <si>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</si>
  <si>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</si>
  <si>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</si>
  <si>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</si>
  <si>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</si>
  <si>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</si>
  <si>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</si>
  <si>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</si>
  <si>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</si>
  <si>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</si>
  <si>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</si>
  <si>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</si>
  <si>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</si>
  <si>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</si>
  <si>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</si>
  <si>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</si>
  <si>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</si>
  <si>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</si>
  <si>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</si>
  <si>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</si>
  <si>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</si>
  <si>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</si>
  <si>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</si>
  <si>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</si>
  <si>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</si>
  <si>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</si>
  <si>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</si>
  <si>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</si>
  <si>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</si>
  <si>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</si>
  <si>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</si>
  <si>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</si>
  <si>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</si>
  <si>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</si>
  <si>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</si>
  <si>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</si>
  <si>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</si>
  <si>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</si>
  <si>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</si>
  <si>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</si>
  <si>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</si>
  <si>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</si>
  <si>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</si>
  <si>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</si>
  <si>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</si>
  <si>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</si>
  <si>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</si>
  <si>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</si>
  <si>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</si>
  <si>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</si>
  <si>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</si>
  <si>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</si>
  <si>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</si>
  <si>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</si>
  <si>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</si>
  <si>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</si>
  <si>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</si>
  <si>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</si>
  <si>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</si>
  <si>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</si>
  <si>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</si>
  <si>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</si>
  <si>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</si>
  <si>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</si>
  <si>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</si>
  <si>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</si>
  <si>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</si>
  <si>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</si>
  <si>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</si>
  <si>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</si>
  <si>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</si>
  <si>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</si>
  <si>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</si>
  <si>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</si>
  <si>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</si>
  <si>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</si>
  <si>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</si>
  <si>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</si>
  <si>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</si>
  <si>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</si>
  <si>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</si>
  <si>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</si>
  <si>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</si>
  <si>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</si>
  <si>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</si>
  <si>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</si>
  <si>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</si>
  <si>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</si>
  <si>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</si>
  <si>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</si>
  <si>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</si>
  <si>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</si>
  <si>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</si>
  <si>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</si>
  <si>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</si>
  <si>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</si>
  <si>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</si>
  <si>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</si>
  <si>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</si>
  <si>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</si>
  <si>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</si>
  <si>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</si>
  <si>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</si>
  <si>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</si>
  <si>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</si>
  <si>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</si>
  <si>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</si>
  <si>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</si>
  <si>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</si>
  <si>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</si>
  <si>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</si>
  <si>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</si>
  <si>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</si>
  <si>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</si>
  <si>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</si>
  <si>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</si>
  <si>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</si>
  <si>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</si>
  <si>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</si>
  <si>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</si>
  <si>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</si>
  <si>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</si>
  <si>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</si>
  <si>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</si>
  <si>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</si>
  <si>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</si>
  <si>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</si>
  <si>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</si>
  <si>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</si>
  <si>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</si>
  <si>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</si>
  <si>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</si>
  <si>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</si>
  <si>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</si>
  <si>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</si>
  <si>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</si>
  <si>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</si>
  <si>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</si>
  <si>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</si>
  <si>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</si>
  <si>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</si>
  <si>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</si>
  <si>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</si>
  <si>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</si>
  <si>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</si>
  <si>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</si>
  <si>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</si>
  <si>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</si>
  <si>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</si>
  <si>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</si>
  <si>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</si>
  <si>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</si>
  <si>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</si>
  <si>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</si>
  <si>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</si>
  <si>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</si>
  <si>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</si>
  <si>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</si>
  <si>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</si>
  <si>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</si>
  <si>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</si>
  <si>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</si>
  <si>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</si>
  <si>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</si>
  <si>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</si>
  <si>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</si>
  <si>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</si>
  <si>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</si>
  <si>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</si>
  <si>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</si>
  <si>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</si>
  <si>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</si>
  <si>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</si>
  <si>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</si>
  <si>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</si>
  <si>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</si>
  <si>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</si>
  <si>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</si>
  <si>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</si>
  <si>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</si>
  <si>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</si>
  <si>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</si>
  <si>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</si>
  <si>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</si>
  <si>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</si>
  <si>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</si>
  <si>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</si>
  <si>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</si>
  <si>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</si>
  <si>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</si>
  <si>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</si>
  <si>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</si>
  <si>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</si>
  <si>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</si>
  <si>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</si>
  <si>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</si>
  <si>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</si>
  <si>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</si>
  <si>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</si>
  <si>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</si>
  <si>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</si>
  <si>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</si>
  <si>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</si>
  <si>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</si>
  <si>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</si>
  <si>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</si>
  <si>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</si>
  <si>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</si>
  <si>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</si>
  <si>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</si>
  <si>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</si>
  <si>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</si>
  <si>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</si>
  <si>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</si>
  <si>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</si>
  <si>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</si>
  <si>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</si>
  <si>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</si>
  <si>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</si>
  <si>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</si>
  <si>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</si>
  <si>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</si>
  <si>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</si>
  <si>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</si>
  <si>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</si>
  <si>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</si>
  <si>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</si>
  <si>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</si>
  <si>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</si>
  <si>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</si>
  <si>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</si>
  <si>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</si>
  <si>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</si>
  <si>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</si>
  <si>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</si>
  <si>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</si>
  <si>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</si>
  <si>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</si>
  <si>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</si>
  <si>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</si>
  <si>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</si>
  <si>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</si>
  <si>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</si>
  <si>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</si>
  <si>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</si>
  <si>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</si>
  <si>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</si>
  <si>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</si>
  <si>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</si>
  <si>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</si>
  <si>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</si>
  <si>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</si>
  <si>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</si>
  <si>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</si>
  <si>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</si>
  <si>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</si>
  <si>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</si>
  <si>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</si>
  <si>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</si>
  <si>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</si>
  <si>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</si>
  <si>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</si>
  <si>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</si>
  <si>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</si>
  <si>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</si>
  <si>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</si>
  <si>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</si>
  <si>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</si>
  <si>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</si>
  <si>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</si>
  <si>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</si>
  <si>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</si>
  <si>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</si>
  <si>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</si>
  <si>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</si>
  <si>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</si>
  <si>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</si>
  <si>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</si>
  <si>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</si>
  <si>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</si>
  <si>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</si>
  <si>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</si>
  <si>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</si>
  <si>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</si>
  <si>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</si>
  <si>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</si>
  <si>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</si>
  <si>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</si>
  <si>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</si>
  <si>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</si>
  <si>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</si>
  <si>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</si>
  <si>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</si>
  <si>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</si>
  <si>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</si>
  <si>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</si>
  <si>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</si>
  <si>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</si>
  <si>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</si>
  <si>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</si>
  <si>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</si>
  <si>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</si>
  <si>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</si>
  <si>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</si>
  <si>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</si>
  <si>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</si>
  <si>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</si>
  <si>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</si>
  <si>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</si>
  <si>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</si>
  <si>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</si>
  <si>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</si>
  <si>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</si>
  <si>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</si>
  <si>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</si>
  <si>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</si>
  <si>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</si>
  <si>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</si>
  <si>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</si>
  <si>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</si>
  <si>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</si>
  <si>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</si>
  <si>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</si>
  <si>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</si>
  <si>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</si>
  <si>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</si>
  <si>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</si>
  <si>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</si>
  <si>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</si>
  <si>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</si>
  <si>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</si>
  <si>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</si>
  <si>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</si>
  <si>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</si>
  <si>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</si>
  <si>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</si>
  <si>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</si>
  <si>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</si>
  <si>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</si>
  <si>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</si>
  <si>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</si>
  <si>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</si>
  <si>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</si>
  <si>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</si>
  <si>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</si>
  <si>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</si>
  <si>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</si>
  <si>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</si>
  <si>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</si>
  <si>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</si>
  <si>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</si>
  <si>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</si>
  <si>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</si>
  <si>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</si>
  <si>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</si>
  <si>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</si>
  <si>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</si>
  <si>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</si>
  <si>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</si>
  <si>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</si>
  <si>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</si>
  <si>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</si>
  <si>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</si>
  <si>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</si>
  <si>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</si>
  <si>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</si>
  <si>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</si>
  <si>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</si>
  <si>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</si>
  <si>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</si>
  <si>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</si>
  <si>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</si>
  <si>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</si>
  <si>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</si>
  <si>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</si>
  <si>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</si>
  <si>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</si>
  <si>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</si>
  <si>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</si>
  <si>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</si>
  <si>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</si>
  <si>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</si>
  <si>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</si>
  <si>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</si>
  <si>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</si>
  <si>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</si>
  <si>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</si>
  <si>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</si>
  <si>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</si>
  <si>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</si>
  <si>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</si>
  <si>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</si>
  <si>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</si>
  <si>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</si>
  <si>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</si>
  <si>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</si>
  <si>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</si>
  <si>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</si>
  <si>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</si>
  <si>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</si>
  <si>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</si>
  <si>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</si>
  <si>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</si>
  <si>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</si>
  <si>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</si>
  <si>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</si>
  <si>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</si>
  <si>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</si>
  <si>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</si>
  <si>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</si>
  <si>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</si>
  <si>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</si>
  <si>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</si>
  <si>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</si>
  <si>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</si>
  <si>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</si>
  <si>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</si>
  <si>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</si>
  <si>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</si>
  <si>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</si>
  <si>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</si>
  <si>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</si>
  <si>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</si>
  <si>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</si>
  <si>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</si>
  <si>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</si>
  <si>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</si>
  <si>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</si>
  <si>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</si>
  <si>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</si>
  <si>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</si>
  <si>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</si>
  <si>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</si>
  <si>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</si>
  <si>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</si>
  <si>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</si>
  <si>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</si>
  <si>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</si>
  <si>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</si>
  <si>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</si>
  <si>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</si>
  <si>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</si>
  <si>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</si>
  <si>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</si>
  <si>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</si>
  <si>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</si>
  <si>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</si>
  <si>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</si>
  <si>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</si>
  <si>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</si>
  <si>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</si>
  <si>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</si>
  <si>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</si>
  <si>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</si>
  <si>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</si>
  <si>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</si>
  <si>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</si>
  <si>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</si>
  <si>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</si>
  <si>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</si>
  <si>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</si>
  <si>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</si>
  <si>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</si>
  <si>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</si>
  <si>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</si>
  <si>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</si>
  <si>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</si>
  <si>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</si>
  <si>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</si>
  <si>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</si>
  <si>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</si>
  <si>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</si>
  <si>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</si>
  <si>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</si>
  <si>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</si>
  <si>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</si>
  <si>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</si>
  <si>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</si>
  <si>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</si>
  <si>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</si>
  <si>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</si>
  <si>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</si>
  <si>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</si>
  <si>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</si>
  <si>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</si>
  <si>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</si>
  <si>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</si>
  <si>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</si>
  <si>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</si>
  <si>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</si>
  <si>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</si>
  <si>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</si>
  <si>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</si>
  <si>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</si>
  <si>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</si>
  <si>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</si>
  <si>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</si>
  <si>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</si>
  <si>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</si>
  <si>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</si>
  <si>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</si>
  <si>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</si>
  <si>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</si>
  <si>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</si>
  <si>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</si>
  <si>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</si>
  <si>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</si>
  <si>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</si>
  <si>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</si>
  <si>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</si>
  <si>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</si>
  <si>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</si>
  <si>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</si>
  <si>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</si>
  <si>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</si>
  <si>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</si>
  <si>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</si>
  <si>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</si>
  <si>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</si>
  <si>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</si>
  <si>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</si>
  <si>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</si>
  <si>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</si>
  <si>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</si>
  <si>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</si>
  <si>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</si>
  <si>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</si>
  <si>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</si>
  <si>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</si>
  <si>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</si>
  <si>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</si>
  <si>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</si>
  <si>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</si>
  <si>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</si>
  <si>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</si>
  <si>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</si>
  <si>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</si>
  <si>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</si>
  <si>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</si>
  <si>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</si>
  <si>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</si>
  <si>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</si>
  <si>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</si>
  <si>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</si>
  <si>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</si>
  <si>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</si>
  <si>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</si>
  <si>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</si>
  <si>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</si>
  <si>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</si>
  <si>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</si>
  <si>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</si>
  <si>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</si>
  <si>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</si>
  <si>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</si>
  <si>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</si>
  <si>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</si>
  <si>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</si>
  <si>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</si>
  <si>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</si>
  <si>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</si>
  <si>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</si>
  <si>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</si>
  <si>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</si>
  <si>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</si>
  <si>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</si>
  <si>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</si>
  <si>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</si>
  <si>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</si>
  <si>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</si>
  <si>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</si>
  <si>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</si>
  <si>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</si>
  <si>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</si>
  <si>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</si>
  <si>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</si>
  <si>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</si>
  <si>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</si>
  <si>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</si>
  <si>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</si>
  <si>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</si>
  <si>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</si>
  <si>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</si>
  <si>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</si>
  <si>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</si>
  <si>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</si>
  <si>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</si>
  <si>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</si>
  <si>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</si>
  <si>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</si>
  <si>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</si>
  <si>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</si>
  <si>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</si>
  <si>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</si>
  <si>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</si>
  <si>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</si>
  <si>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</si>
  <si>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</si>
  <si>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</si>
  <si>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</si>
  <si>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</si>
  <si>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</si>
  <si>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</si>
  <si>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</si>
  <si>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</si>
  <si>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</si>
  <si>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</si>
  <si>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</si>
  <si>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</si>
  <si>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</si>
  <si>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</si>
  <si>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</si>
  <si>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</si>
  <si>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</si>
  <si>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</si>
  <si>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</si>
  <si>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</si>
  <si>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</si>
  <si>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</si>
  <si>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</si>
  <si>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</si>
  <si>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</si>
  <si>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</si>
  <si>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</si>
  <si>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</si>
  <si>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</si>
  <si>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</si>
  <si>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</si>
  <si>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</si>
  <si>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</si>
  <si>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</si>
  <si>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</si>
  <si>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</si>
  <si>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</si>
  <si>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</si>
  <si>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</si>
  <si>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</si>
  <si>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</si>
  <si>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</si>
  <si>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</si>
  <si>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</si>
  <si>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</si>
  <si>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</si>
  <si>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</si>
  <si>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</si>
  <si>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</si>
  <si>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</si>
  <si>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</si>
  <si>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</si>
  <si>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</si>
  <si>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</si>
  <si>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</si>
  <si>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</si>
  <si>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</si>
  <si>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</si>
  <si>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</si>
  <si>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</si>
  <si>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</si>
  <si>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</si>
  <si>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</si>
  <si>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</si>
  <si>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</si>
  <si>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</si>
  <si>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</si>
  <si>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</si>
  <si>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</si>
  <si>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</si>
  <si>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</si>
  <si>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</si>
  <si>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</si>
  <si>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</si>
  <si>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</si>
  <si>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</si>
  <si>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</si>
  <si>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</si>
  <si>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</si>
  <si>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</si>
  <si>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</si>
  <si>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</si>
  <si>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</si>
  <si>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</si>
  <si>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</si>
  <si>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</si>
  <si>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</si>
  <si>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</si>
  <si>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</si>
  <si>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</si>
  <si>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</si>
  <si>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</si>
  <si>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</si>
  <si>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</si>
  <si>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</si>
  <si>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</si>
  <si>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</si>
  <si>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</si>
  <si>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</si>
  <si>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</si>
  <si>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</si>
  <si>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</si>
  <si>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</si>
  <si>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</si>
  <si>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</si>
  <si>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</si>
  <si>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</si>
  <si>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</si>
  <si>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</si>
  <si>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</si>
  <si>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</si>
  <si>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</si>
  <si>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</si>
  <si>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</si>
  <si>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</si>
  <si>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</si>
  <si>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</si>
  <si>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</si>
  <si>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</si>
  <si>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</si>
  <si>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</si>
  <si>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</si>
  <si>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</si>
  <si>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</si>
  <si>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</si>
  <si>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</si>
  <si>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</si>
  <si>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</si>
  <si>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</si>
  <si>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</si>
  <si>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</si>
  <si>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</si>
  <si>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</si>
  <si>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</si>
  <si>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</si>
  <si>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</si>
  <si>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</si>
  <si>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</si>
  <si>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</si>
  <si>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</si>
  <si>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</si>
  <si>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</si>
  <si>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</si>
  <si>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</si>
  <si>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</si>
  <si>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</si>
  <si>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</si>
  <si>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</si>
  <si>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</si>
  <si>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</si>
  <si>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</si>
  <si>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</si>
  <si>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</si>
  <si>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</si>
  <si>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</si>
  <si>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</si>
  <si>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</si>
  <si>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</si>
  <si>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</si>
  <si>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</si>
  <si>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</si>
  <si>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</si>
  <si>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</si>
  <si>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</si>
  <si>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</si>
  <si>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</si>
  <si>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</si>
  <si>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</si>
  <si>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</si>
  <si>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</si>
  <si>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</si>
  <si>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</si>
  <si>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</si>
  <si>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</si>
  <si>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</si>
  <si>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</si>
  <si>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</si>
  <si>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</si>
  <si>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</si>
  <si>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</si>
  <si>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</si>
  <si>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</si>
  <si>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</si>
  <si>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</si>
  <si>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</si>
  <si>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</si>
  <si>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</si>
  <si>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</si>
  <si>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</si>
  <si>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</si>
  <si>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</si>
  <si>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</si>
  <si>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</si>
  <si>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</si>
  <si>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</si>
  <si>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</si>
  <si>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</si>
  <si>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</si>
  <si>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</si>
  <si>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</si>
  <si>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</si>
  <si>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</si>
  <si>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</si>
  <si>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</si>
  <si>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</si>
  <si>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</si>
  <si>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</si>
  <si>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</si>
  <si>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</si>
  <si>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</si>
  <si>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</si>
  <si>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</si>
  <si>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</si>
  <si>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</si>
  <si>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</si>
  <si>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</si>
  <si>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</si>
  <si>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</si>
  <si>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</si>
  <si>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</si>
  <si>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</si>
  <si>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</si>
  <si>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</si>
  <si>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</si>
  <si>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</si>
  <si>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</si>
  <si>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</si>
  <si>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</si>
  <si>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</si>
  <si>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</si>
  <si>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</si>
  <si>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</si>
  <si>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</si>
  <si>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</si>
  <si>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</si>
  <si>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</si>
  <si>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</si>
  <si>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</si>
  <si>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</si>
  <si>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</si>
  <si>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</si>
  <si>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</si>
  <si>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</si>
  <si>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</si>
  <si>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</si>
  <si>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</si>
  <si>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</si>
  <si>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</si>
  <si>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</si>
  <si>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</si>
  <si>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</si>
  <si>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</si>
  <si>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</si>
  <si>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</si>
  <si>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</si>
  <si>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</si>
  <si>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</si>
  <si>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</si>
  <si>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</si>
  <si>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</si>
  <si>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</si>
  <si>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</si>
  <si>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</si>
  <si>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</si>
  <si>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</si>
  <si>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</si>
  <si>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</si>
  <si>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</si>
  <si>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</si>
  <si>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</si>
  <si>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</si>
  <si>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</si>
  <si>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</si>
  <si>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</si>
  <si>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</si>
  <si>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</si>
  <si>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</si>
  <si>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</si>
  <si>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</si>
  <si>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</si>
  <si>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</si>
  <si>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</si>
  <si>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</si>
  <si>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</si>
  <si>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</si>
  <si>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</si>
  <si>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</si>
  <si>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</si>
  <si>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</si>
  <si>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</si>
  <si>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</si>
  <si>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</si>
  <si>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</si>
  <si>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</si>
  <si>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</si>
  <si>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</si>
  <si>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</si>
  <si>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</si>
  <si>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</si>
  <si>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</si>
  <si>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</si>
  <si>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</si>
  <si>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</si>
  <si>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</si>
  <si>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</si>
  <si>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</si>
  <si>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</si>
  <si>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</si>
  <si>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</si>
  <si>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</si>
  <si>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</si>
  <si>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</si>
  <si>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</si>
  <si>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</si>
  <si>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</si>
  <si>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</si>
  <si>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</si>
  <si>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</si>
  <si>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</si>
  <si>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</si>
  <si>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</si>
  <si>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</si>
  <si>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</si>
  <si>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</si>
  <si>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</si>
  <si>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</si>
  <si>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</si>
  <si>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</si>
  <si>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</si>
  <si>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</si>
  <si>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</si>
  <si>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</si>
  <si>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</si>
  <si>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</si>
  <si>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</si>
  <si>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</si>
  <si>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</si>
  <si>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</si>
  <si>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</si>
  <si>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</si>
  <si>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</si>
  <si>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</si>
  <si>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</si>
  <si>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</si>
  <si>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</si>
  <si>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</si>
  <si>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</si>
  <si>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</si>
  <si>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</si>
  <si>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</si>
  <si>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</si>
  <si>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</si>
  <si>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</si>
  <si>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</si>
  <si>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</si>
  <si>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</si>
  <si>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</si>
  <si>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</si>
  <si>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</si>
  <si>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</si>
  <si>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</si>
  <si>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</si>
  <si>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</si>
  <si>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</si>
  <si>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</si>
  <si>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</si>
  <si>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</si>
  <si>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</si>
  <si>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</si>
  <si>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</si>
  <si>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</si>
  <si>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</si>
  <si>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</si>
  <si>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</si>
  <si>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</si>
  <si>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</si>
  <si>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</si>
  <si>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</si>
  <si>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</si>
  <si>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</si>
  <si>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</si>
  <si>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</si>
  <si>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</si>
  <si>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</si>
  <si>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</si>
  <si>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</si>
  <si>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</si>
  <si>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</si>
  <si>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</si>
  <si>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</si>
  <si>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</si>
  <si>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</si>
  <si>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</si>
  <si>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</si>
  <si>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</si>
  <si>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</si>
  <si>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</si>
  <si>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</si>
  <si>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</si>
  <si>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</si>
  <si>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</si>
  <si>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</si>
  <si>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</si>
  <si>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</si>
  <si>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</si>
  <si>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</si>
  <si>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</si>
  <si>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</si>
  <si>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</si>
  <si>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</si>
  <si>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</si>
  <si>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</si>
  <si>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</si>
  <si>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</si>
  <si>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</si>
  <si>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</si>
  <si>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</si>
  <si>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</si>
  <si>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</si>
  <si>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</si>
  <si>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</si>
  <si>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</si>
  <si>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</si>
  <si>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</si>
  <si>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</si>
  <si>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</si>
  <si>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</si>
  <si>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</si>
  <si>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</si>
  <si>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</si>
  <si>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</si>
  <si>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</si>
  <si>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</si>
  <si>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</si>
  <si>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</si>
  <si>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</si>
  <si>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</si>
  <si>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</si>
  <si>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</si>
  <si>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</si>
  <si>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</si>
  <si>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</si>
  <si>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</si>
  <si>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</si>
  <si>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</si>
  <si>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</si>
  <si>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</si>
  <si>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</si>
  <si>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</si>
  <si>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</si>
  <si>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</si>
  <si>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</si>
  <si>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</si>
  <si>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</si>
  <si>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</si>
  <si>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</si>
  <si>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</si>
  <si>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</si>
  <si>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</si>
  <si>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</si>
  <si>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</si>
  <si>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</si>
  <si>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</si>
  <si>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</si>
  <si>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</si>
  <si>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</si>
  <si>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</si>
  <si>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</si>
  <si>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</si>
  <si>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</si>
  <si>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</si>
  <si>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</si>
  <si>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</si>
  <si>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</si>
  <si>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</si>
  <si>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</si>
  <si>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</si>
  <si>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</si>
  <si>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</si>
  <si>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</si>
  <si>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</si>
  <si>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</si>
  <si>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</si>
  <si>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</si>
  <si>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</si>
  <si>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</si>
  <si>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</si>
  <si>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</si>
  <si>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</si>
  <si>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</si>
  <si>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</si>
  <si>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</si>
  <si>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</si>
  <si>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</si>
  <si>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</si>
  <si>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</si>
  <si>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</si>
  <si>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</si>
  <si>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</si>
  <si>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</si>
  <si>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</si>
  <si>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</si>
  <si>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</si>
  <si>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</si>
  <si>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</si>
  <si>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</si>
  <si>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</si>
  <si>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</si>
  <si>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</si>
  <si>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</si>
  <si>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</si>
  <si>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</si>
  <si>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</si>
  <si>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</si>
  <si>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</si>
  <si>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</si>
  <si>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</si>
  <si>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</si>
  <si>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</si>
  <si>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</si>
  <si>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</si>
  <si>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</si>
  <si>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</si>
  <si>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</si>
  <si>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</si>
  <si>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</si>
  <si>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</si>
  <si>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</si>
  <si>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</si>
  <si>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</si>
  <si>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</si>
  <si>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</si>
  <si>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</si>
  <si>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</si>
  <si>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</si>
  <si>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</si>
  <si>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</si>
  <si>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</si>
  <si>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</si>
  <si>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</si>
  <si>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</si>
  <si>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</si>
  <si>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</si>
  <si>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</si>
  <si>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</si>
  <si>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</si>
  <si>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</si>
  <si>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</si>
  <si>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</si>
  <si>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</si>
  <si>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</si>
  <si>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</si>
  <si>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</si>
  <si>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</si>
  <si>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</si>
  <si>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</si>
  <si>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</si>
  <si>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</si>
  <si>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</si>
  <si>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</si>
  <si>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</si>
  <si>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</si>
  <si>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</si>
  <si>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</si>
  <si>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</si>
  <si>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</si>
  <si>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</si>
  <si>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</si>
  <si>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</si>
  <si>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</si>
  <si>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</si>
  <si>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</si>
  <si>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</si>
  <si>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</si>
  <si>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</si>
  <si>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</si>
  <si>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</si>
  <si>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</si>
  <si>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</si>
  <si>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</si>
  <si>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</si>
  <si>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</si>
  <si>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</si>
  <si>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</si>
  <si>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</si>
  <si>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</si>
  <si>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</si>
  <si>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</si>
  <si>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</si>
  <si>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</si>
  <si>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</si>
  <si>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</si>
  <si>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</si>
  <si>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</si>
  <si>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</si>
  <si>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</si>
  <si>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</si>
  <si>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</si>
  <si>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</si>
  <si>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</si>
  <si>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</si>
  <si>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</si>
  <si>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</si>
  <si>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</si>
  <si>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</si>
  <si>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</si>
  <si>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</si>
  <si>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</si>
  <si>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</si>
  <si>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</si>
  <si>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</si>
  <si>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</si>
  <si>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</si>
  <si>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</si>
  <si>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</si>
  <si>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</si>
  <si>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</si>
  <si>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</si>
  <si>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</si>
  <si>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</si>
  <si>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</si>
  <si>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</si>
  <si>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</si>
  <si>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</si>
  <si>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</si>
  <si>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</si>
  <si>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</si>
  <si>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</si>
  <si>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</si>
  <si>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</si>
  <si>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</si>
  <si>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</si>
  <si>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</si>
  <si>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</si>
  <si>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</si>
  <si>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</si>
  <si>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</si>
  <si>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</si>
  <si>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</si>
  <si>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</si>
  <si>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</si>
  <si>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</si>
  <si>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</si>
  <si>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</si>
  <si>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</si>
  <si>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</si>
  <si>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</si>
  <si>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</si>
  <si>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</si>
  <si>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</si>
  <si>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</si>
  <si>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</si>
  <si>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</si>
  <si>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</si>
  <si>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</si>
  <si>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</si>
  <si>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</si>
  <si>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</si>
  <si>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</si>
  <si>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</si>
  <si>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</si>
  <si>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</si>
  <si>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</si>
  <si>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</si>
  <si>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</si>
  <si>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</si>
  <si>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</si>
  <si>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</si>
  <si>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</si>
  <si>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</si>
  <si>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</si>
  <si>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</si>
  <si>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</si>
  <si>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</si>
  <si>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</si>
  <si>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</si>
  <si>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</si>
  <si>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</si>
  <si>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</si>
  <si>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</si>
  <si>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</si>
  <si>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</si>
  <si>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</si>
  <si>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</si>
  <si>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</si>
  <si>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</si>
  <si>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</si>
  <si>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</si>
  <si>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</si>
  <si>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</si>
  <si>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</si>
  <si>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</si>
  <si>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</si>
  <si>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</si>
  <si>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</si>
  <si>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</si>
  <si>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</si>
  <si>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</si>
  <si>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</si>
  <si>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</si>
  <si>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</si>
  <si>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</si>
  <si>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</si>
  <si>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</si>
  <si>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</si>
  <si>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</si>
  <si>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</si>
  <si>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</si>
  <si>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</si>
  <si>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</si>
  <si>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</si>
  <si>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</si>
  <si>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</si>
  <si>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</si>
  <si>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</si>
  <si>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</si>
  <si>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</si>
  <si>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</si>
  <si>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</si>
  <si>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</si>
  <si>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</si>
  <si>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</si>
  <si>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</si>
  <si>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</si>
  <si>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</si>
  <si>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</si>
  <si>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</si>
  <si>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</si>
  <si>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</si>
  <si>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</si>
  <si>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</si>
  <si>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</si>
  <si>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</si>
  <si>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</si>
  <si>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</si>
  <si>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</si>
  <si>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</si>
  <si>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</si>
  <si>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</si>
  <si>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</si>
  <si>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</si>
  <si>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</si>
  <si>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</si>
  <si>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</si>
  <si>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</si>
  <si>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</si>
  <si>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</si>
  <si>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</si>
  <si>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</si>
  <si>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</si>
  <si>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</si>
  <si>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</si>
  <si>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</si>
  <si>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</si>
  <si>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</si>
  <si>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</si>
  <si>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</si>
  <si>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</si>
  <si>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</si>
  <si>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</si>
  <si>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</si>
  <si>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</si>
  <si>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</si>
  <si>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</si>
  <si>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</si>
  <si>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</si>
  <si>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</si>
  <si>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</si>
  <si>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</si>
  <si>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</si>
  <si>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</si>
  <si>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</si>
  <si>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</si>
  <si>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</si>
  <si>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</si>
  <si>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</si>
  <si>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</si>
  <si>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</si>
  <si>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</si>
  <si>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</si>
  <si>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</si>
  <si>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</si>
  <si>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</si>
  <si>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</si>
  <si>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</si>
  <si>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</si>
  <si>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</si>
  <si>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</si>
  <si>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</si>
  <si>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</si>
  <si>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</si>
  <si>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</si>
  <si>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</si>
  <si>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</si>
  <si>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</si>
  <si>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</si>
  <si>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</si>
  <si>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</si>
  <si>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</si>
  <si>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</si>
  <si>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</si>
  <si>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</si>
  <si>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</si>
  <si>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</si>
  <si>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</si>
  <si>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</si>
  <si>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</si>
  <si>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</si>
  <si>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</si>
  <si>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</si>
  <si>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</si>
  <si>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</si>
  <si>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</si>
  <si>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</si>
  <si>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</si>
  <si>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</si>
  <si>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</si>
  <si>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</si>
  <si>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</si>
  <si>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</si>
  <si>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</si>
  <si>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</si>
  <si>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</si>
  <si>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</si>
  <si>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</si>
  <si>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</si>
  <si>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</si>
  <si>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</si>
  <si>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</si>
  <si>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</si>
  <si>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</si>
  <si>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</si>
  <si>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</si>
  <si>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</si>
  <si>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</si>
  <si>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</si>
  <si>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</si>
  <si>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</si>
  <si>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</si>
  <si>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</si>
  <si>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</si>
  <si>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</si>
  <si>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</si>
  <si>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</si>
  <si>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</si>
  <si>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</si>
  <si>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</si>
  <si>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</si>
  <si>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</si>
  <si>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</si>
  <si>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</si>
  <si>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</si>
  <si>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</si>
  <si>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</si>
  <si>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</si>
  <si>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</si>
  <si>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</si>
  <si>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</si>
  <si>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</si>
  <si>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</si>
  <si>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</si>
  <si>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</si>
  <si>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</si>
  <si>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</si>
  <si>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</si>
  <si>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</si>
  <si>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</si>
  <si>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</si>
  <si>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</si>
  <si>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</si>
  <si>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</si>
  <si>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</si>
  <si>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</si>
  <si>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</si>
  <si>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</si>
  <si>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</si>
  <si>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</si>
  <si>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</si>
  <si>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</si>
  <si>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</si>
  <si>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</si>
  <si>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</si>
  <si>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</si>
  <si>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</si>
  <si>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</si>
  <si>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</si>
  <si>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</si>
  <si>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</si>
  <si>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</si>
  <si>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</si>
  <si>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</si>
  <si>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</si>
  <si>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</si>
  <si>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</si>
  <si>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</si>
  <si>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</si>
  <si>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</si>
  <si>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</si>
  <si>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</si>
  <si>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</si>
  <si>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</si>
  <si>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</si>
  <si>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</si>
  <si>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</si>
  <si>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</si>
  <si>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</si>
  <si>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</si>
  <si>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</si>
  <si>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</si>
  <si>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</si>
  <si>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</si>
  <si>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</si>
  <si>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</si>
  <si>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</si>
  <si>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</si>
  <si>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</si>
  <si>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</si>
  <si>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</si>
  <si>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</si>
  <si>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</si>
  <si>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</si>
  <si>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</si>
  <si>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</si>
  <si>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</si>
  <si>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</si>
  <si>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</si>
  <si>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</si>
  <si>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</si>
  <si>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</si>
  <si>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</si>
  <si>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</si>
  <si>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</si>
  <si>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</si>
  <si>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</si>
  <si>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</si>
  <si>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</si>
  <si>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</si>
  <si>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</si>
  <si>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</si>
  <si>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</si>
  <si>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</si>
  <si>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</si>
  <si>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</si>
  <si>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</si>
  <si>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</si>
  <si>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</si>
  <si>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</si>
  <si>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</si>
  <si>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</si>
  <si>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</si>
  <si>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</si>
  <si>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</si>
  <si>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</si>
  <si>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</si>
  <si>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</si>
  <si>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</si>
  <si>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</si>
  <si>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</si>
  <si>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</si>
  <si>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</si>
  <si>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</si>
  <si>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</si>
  <si>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</si>
  <si>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</si>
  <si>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</si>
  <si>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</si>
  <si>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</si>
  <si>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</si>
  <si>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</si>
  <si>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</si>
  <si>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</si>
  <si>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</si>
  <si>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</si>
  <si>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</si>
  <si>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</si>
  <si>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</si>
  <si>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</si>
  <si>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</si>
  <si>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</si>
  <si>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</si>
  <si>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</si>
  <si>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</si>
  <si>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</si>
  <si>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</si>
  <si>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</si>
  <si>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</si>
  <si>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</si>
  <si>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</si>
  <si>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</si>
  <si>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</si>
  <si>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</si>
  <si>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</si>
  <si>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</si>
  <si>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</si>
  <si>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</si>
  <si>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</si>
  <si>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</si>
  <si>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</si>
  <si>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</si>
  <si>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</si>
  <si>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</si>
  <si>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</si>
  <si>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</si>
  <si>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</si>
  <si>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</si>
  <si>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</si>
  <si>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</si>
  <si>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</si>
  <si>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</si>
  <si>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</si>
  <si>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</si>
  <si>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</si>
  <si>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</si>
  <si>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</si>
  <si>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</si>
  <si>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</si>
  <si>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</si>
  <si>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</si>
  <si>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</si>
  <si>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</si>
  <si>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</si>
  <si>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</si>
  <si>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</si>
  <si>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</si>
  <si>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</si>
  <si>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</si>
  <si>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</si>
  <si>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</si>
  <si>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</si>
  <si>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</si>
  <si>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</si>
  <si>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</si>
  <si>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</si>
  <si>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</si>
  <si>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</si>
  <si>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</si>
  <si>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</si>
  <si>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</si>
  <si>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</si>
  <si>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</si>
  <si>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</si>
  <si>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</si>
  <si>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</si>
  <si>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</si>
  <si>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</si>
  <si>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</si>
  <si>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</si>
  <si>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</si>
  <si>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</si>
  <si>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</si>
  <si>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</si>
  <si>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</si>
  <si>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</si>
  <si>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</si>
  <si>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</si>
  <si>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</si>
  <si>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</si>
  <si>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</si>
  <si>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</si>
  <si>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</si>
  <si>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</si>
  <si>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</si>
  <si>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</si>
  <si>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</si>
  <si>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</si>
  <si>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</si>
  <si>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</si>
  <si>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</si>
  <si>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</si>
  <si>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</si>
  <si>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</si>
  <si>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</si>
  <si>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</si>
  <si>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</si>
  <si>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</si>
  <si>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</si>
  <si>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</si>
  <si>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</si>
  <si>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</si>
  <si>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</si>
  <si>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</si>
  <si>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</si>
  <si>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</si>
  <si>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</si>
  <si>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</si>
  <si>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</si>
  <si>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</si>
  <si>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</si>
  <si>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</si>
  <si>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</si>
  <si>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</si>
  <si>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</si>
  <si>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</si>
  <si>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</si>
  <si>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</si>
  <si>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</si>
  <si>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</si>
  <si>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</si>
  <si>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</si>
  <si>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</si>
  <si>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</si>
  <si>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</si>
  <si>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</si>
  <si>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</si>
  <si>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</si>
  <si>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Ajay Glass &amp; Mirror Co., Inc.</t>
  </si>
  <si>
    <t>101 North Street</t>
  </si>
  <si>
    <t>Canandaigua, NY 14424</t>
  </si>
  <si>
    <t>Valerie Lapp</t>
  </si>
  <si>
    <t>Payroll Administrator</t>
  </si>
  <si>
    <t>Glaziers</t>
  </si>
  <si>
    <t>Structural Iron and Steel Workers</t>
  </si>
  <si>
    <t>47-2121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</si>
</sst>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466725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95250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7" zoomScaleNormal="100" zoomScalePageLayoutView="96" workbookViewId="0">
      <selection activeCell="F22" sqref="F2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1839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1836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1840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1837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43230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/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1843</v>
      </c>
      <c r="F22" s="96">
        <v>6</v>
      </c>
      <c r="G22" s="96">
        <v>98</v>
      </c>
      <c r="H22" s="94">
        <v>3215.06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1842</v>
      </c>
      <c r="E23" s="92" t="str">
        <f>IF(ISERROR(VLOOKUP(D23,Sheet3!$A$2:$B$821,2,FALSE)),"",(VLOOKUP(D23,Sheet3!$A$2:$B$821,2,FALSE)))</f>
        <v>47-2221</v>
      </c>
      <c r="F23" s="96">
        <v>4</v>
      </c>
      <c r="G23" s="96">
        <v>154</v>
      </c>
      <c r="H23" s="94">
        <v>5414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10</v>
      </c>
      <c r="G39" s="95">
        <f>SUM(G22:G37)</f>
        <v>252</v>
      </c>
      <c r="H39" s="113">
        <f>SUM(H22:H37)</f>
        <v>8629.06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466725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Valerie Lapp</cp:lastModifiedBy>
  <cp:lastPrinted>2017-12-08T15:57:11Z</cp:lastPrinted>
  <dcterms:created xsi:type="dcterms:W3CDTF">2016-01-07T15:16:02Z</dcterms:created>
  <dcterms:modified xsi:type="dcterms:W3CDTF">2018-05-10T17:38:43Z</dcterms:modified>
</cp:coreProperties>
</file>