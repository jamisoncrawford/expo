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3- March 2018\"/>
    </mc:Choice>
  </mc:AlternateContent>
  <bookViews>
    <workbookView xWindow="0" yWindow="0" windowWidth="15360" windowHeight="8400"/>
  </bookViews>
  <sheets>
    <sheet name="EEO-101-Construction Workforce " sheetId="1" r:id="rId1"/>
    <sheet name="Sheet1" sheetId="6" r:id="rId2"/>
    <sheet name="Sheet2" sheetId="2" state="hidden" r:id="rId3"/>
    <sheet name="Sheet3" sheetId="3" state="hidden" r:id="rId4"/>
    <sheet name="County_State" sheetId="5" state="hidden" r:id="rId5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6" i="6" l="1"/>
  <c r="D18" i="6" s="1"/>
  <c r="C16" i="6"/>
  <c r="C18" i="6" s="1"/>
  <c r="B16" i="6"/>
  <c r="B18" i="6" s="1"/>
  <c r="D15" i="6"/>
  <c r="C15" i="6"/>
  <c r="B15" i="6"/>
  <c r="D14" i="6"/>
  <c r="C14" i="6"/>
  <c r="B14" i="6"/>
  <c r="B17" i="6" l="1"/>
  <c r="E15" i="6"/>
  <c r="C17" i="6"/>
  <c r="D17" i="6"/>
  <c r="E14" i="6"/>
  <c r="E16" i="6"/>
  <c r="E17" i="6"/>
  <c r="D20" i="6" s="1"/>
  <c r="E18" i="6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<sst xmlns="http://schemas.openxmlformats.org/spreadsheetml/2006/main" count="2127" uniqueCount="1860">
  <si>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</si>
  <si>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</si>
  <si>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</si>
  <si>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</si>
  <si>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</si>
  <si>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</si>
  <si>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</si>
  <si>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</si>
  <si>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</si>
  <si>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</si>
  <si>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</si>
  <si>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</si>
  <si>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</si>
  <si>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</si>
  <si>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</si>
  <si>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</si>
  <si>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</si>
  <si>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</si>
  <si>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</si>
  <si>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</si>
  <si>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</si>
  <si>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</si>
  <si>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</si>
  <si>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</si>
  <si>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</si>
  <si>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</si>
  <si>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</si>
  <si>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</si>
  <si>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</si>
  <si>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</si>
  <si>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</si>
  <si>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</si>
  <si>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</si>
  <si>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</si>
  <si>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</si>
  <si>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</si>
  <si>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</si>
  <si>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</si>
  <si>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</si>
  <si>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</si>
  <si>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</si>
  <si>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</si>
  <si>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</si>
  <si>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</si>
  <si>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</si>
  <si>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</si>
  <si>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</si>
  <si>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</si>
  <si>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</si>
  <si>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</si>
  <si>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</si>
  <si>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</si>
  <si>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</si>
  <si>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</si>
  <si>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</si>
  <si>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</si>
  <si>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</si>
  <si>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</si>
  <si>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</si>
  <si>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</si>
  <si>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</si>
  <si>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</si>
  <si>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</si>
  <si>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</si>
  <si>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</si>
  <si>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</si>
  <si>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</si>
  <si>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</si>
  <si>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</si>
  <si>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</si>
  <si>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</si>
  <si>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</si>
  <si>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</si>
  <si>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</si>
  <si>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</si>
  <si>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</si>
  <si>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</si>
  <si>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</si>
  <si>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</si>
  <si>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</si>
  <si>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</si>
  <si>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</si>
  <si>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</si>
  <si>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</si>
  <si>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</si>
  <si>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</si>
  <si>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</si>
  <si>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</si>
  <si>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</si>
  <si>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</si>
  <si>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</si>
  <si>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</si>
  <si>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</si>
  <si>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</si>
  <si>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</si>
  <si>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</si>
  <si>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</si>
  <si>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</si>
  <si>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</si>
  <si>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</si>
  <si>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</si>
  <si>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</si>
  <si>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</si>
  <si>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</si>
  <si>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</si>
  <si>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</si>
  <si>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</si>
  <si>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</si>
  <si>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</si>
  <si>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</si>
  <si>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</si>
  <si>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</si>
  <si>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</si>
  <si>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</si>
  <si>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</si>
  <si>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</si>
  <si>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</si>
  <si>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</si>
  <si>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</si>
  <si>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</si>
  <si>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</si>
  <si>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</si>
  <si>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</si>
  <si>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</si>
  <si>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</si>
  <si>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</si>
  <si>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</si>
  <si>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</si>
  <si>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</si>
  <si>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</si>
  <si>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</si>
  <si>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</si>
  <si>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</si>
  <si>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</si>
  <si>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</si>
  <si>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</si>
  <si>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</si>
  <si>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</si>
  <si>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</si>
  <si>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</si>
  <si>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</si>
  <si>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</si>
  <si>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</si>
  <si>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</si>
  <si>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</si>
  <si>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</si>
  <si>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</si>
  <si>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</si>
  <si>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</si>
  <si>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</si>
  <si>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</si>
  <si>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</si>
  <si>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</si>
  <si>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</si>
  <si>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</si>
  <si>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</si>
  <si>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</si>
  <si>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</si>
  <si>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</si>
  <si>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</si>
  <si>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</si>
  <si>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</si>
  <si>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</si>
  <si>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</si>
  <si>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</si>
  <si>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</si>
  <si>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</si>
  <si>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</si>
  <si>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</si>
  <si>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</si>
  <si>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</si>
  <si>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</si>
  <si>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</si>
  <si>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</si>
  <si>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</si>
  <si>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</si>
  <si>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</si>
  <si>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</si>
  <si>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</si>
  <si>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</si>
  <si>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</si>
  <si>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</si>
  <si>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</si>
  <si>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</si>
  <si>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</si>
  <si>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</si>
  <si>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</si>
  <si>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</si>
  <si>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</si>
  <si>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</si>
  <si>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</si>
  <si>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</si>
  <si>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</si>
  <si>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</si>
  <si>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</si>
  <si>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</si>
  <si>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</si>
  <si>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</si>
  <si>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</si>
  <si>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</si>
  <si>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</si>
  <si>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</si>
  <si>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</si>
  <si>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</si>
  <si>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</si>
  <si>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</si>
  <si>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</si>
  <si>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</si>
  <si>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</si>
  <si>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</si>
  <si>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</si>
  <si>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</si>
  <si>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</si>
  <si>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</si>
  <si>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</si>
  <si>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</si>
  <si>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</si>
  <si>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</si>
  <si>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</si>
  <si>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</si>
  <si>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</si>
  <si>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</si>
  <si>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</si>
  <si>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</si>
  <si>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</si>
  <si>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</si>
  <si>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</si>
  <si>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</si>
  <si>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</si>
  <si>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</si>
  <si>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</si>
  <si>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</si>
  <si>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</si>
  <si>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</si>
  <si>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</si>
  <si>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</si>
  <si>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</si>
  <si>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</si>
  <si>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</si>
  <si>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</si>
  <si>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</si>
  <si>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</si>
  <si>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</si>
  <si>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</si>
  <si>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</si>
  <si>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</si>
  <si>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</si>
  <si>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</si>
  <si>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</si>
  <si>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</si>
  <si>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</si>
  <si>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</si>
  <si>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</si>
  <si>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</si>
  <si>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</si>
  <si>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</si>
  <si>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</si>
  <si>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</si>
  <si>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</si>
  <si>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</si>
  <si>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</si>
  <si>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</si>
  <si>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</si>
  <si>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</si>
  <si>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</si>
  <si>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</si>
  <si>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</si>
  <si>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</si>
  <si>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</si>
  <si>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</si>
  <si>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</si>
  <si>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</si>
  <si>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</si>
  <si>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</si>
  <si>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</si>
  <si>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</si>
  <si>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</si>
  <si>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</si>
  <si>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</si>
  <si>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</si>
  <si>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</si>
  <si>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</si>
  <si>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</si>
  <si>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</si>
  <si>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</si>
  <si>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</si>
  <si>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</si>
  <si>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</si>
  <si>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</si>
  <si>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</si>
  <si>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</si>
  <si>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</si>
  <si>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</si>
  <si>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</si>
  <si>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</si>
  <si>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</si>
  <si>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</si>
  <si>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</si>
  <si>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</si>
  <si>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</si>
  <si>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</si>
  <si>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</si>
  <si>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</si>
  <si>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</si>
  <si>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</si>
  <si>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</si>
  <si>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</si>
  <si>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</si>
  <si>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</si>
  <si>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</si>
  <si>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</si>
  <si>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</si>
  <si>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</si>
  <si>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</si>
  <si>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</si>
  <si>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</si>
  <si>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</si>
  <si>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</si>
  <si>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</si>
  <si>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</si>
  <si>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</si>
  <si>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</si>
  <si>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</si>
  <si>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</si>
  <si>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</si>
  <si>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</si>
  <si>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</si>
  <si>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</si>
  <si>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</si>
  <si>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</si>
  <si>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</si>
  <si>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</si>
  <si>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</si>
  <si>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</si>
  <si>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</si>
  <si>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</si>
  <si>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</si>
  <si>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</si>
  <si>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</si>
  <si>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</si>
  <si>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</si>
  <si>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</si>
  <si>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</si>
  <si>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</si>
  <si>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</si>
  <si>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</si>
  <si>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</si>
  <si>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</si>
  <si>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</si>
  <si>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</si>
  <si>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</si>
  <si>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</si>
  <si>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</si>
  <si>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</si>
  <si>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</si>
  <si>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</si>
  <si>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</si>
  <si>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</si>
  <si>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</si>
  <si>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</si>
  <si>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</si>
  <si>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</si>
  <si>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</si>
  <si>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</si>
  <si>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</si>
  <si>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</si>
  <si>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</si>
  <si>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</si>
  <si>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</si>
  <si>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</si>
  <si>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</si>
  <si>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</si>
  <si>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</si>
  <si>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</si>
  <si>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</si>
  <si>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</si>
  <si>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</si>
  <si>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</si>
  <si>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</si>
  <si>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</si>
  <si>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</si>
  <si>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</si>
  <si>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</si>
  <si>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</si>
  <si>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</si>
  <si>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</si>
  <si>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</si>
  <si>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</si>
  <si>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</si>
  <si>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</si>
  <si>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</si>
  <si>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</si>
  <si>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</si>
  <si>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</si>
  <si>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</si>
  <si>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</si>
  <si>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</si>
  <si>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</si>
  <si>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</si>
  <si>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</si>
  <si>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</si>
  <si>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</si>
  <si>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</si>
  <si>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</si>
  <si>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</si>
  <si>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</si>
  <si>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</si>
  <si>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</si>
  <si>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</si>
  <si>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</si>
  <si>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</si>
  <si>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</si>
  <si>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</si>
  <si>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</si>
  <si>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</si>
  <si>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</si>
  <si>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</si>
  <si>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</si>
  <si>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</si>
  <si>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</si>
  <si>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</si>
  <si>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</si>
  <si>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</si>
  <si>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</si>
  <si>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</si>
  <si>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</si>
  <si>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</si>
  <si>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</si>
  <si>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</si>
  <si>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</si>
  <si>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</si>
  <si>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</si>
  <si>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</si>
  <si>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</si>
  <si>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</si>
  <si>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</si>
  <si>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</si>
  <si>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</si>
  <si>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</si>
  <si>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</si>
  <si>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</si>
  <si>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</si>
  <si>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</si>
  <si>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</si>
  <si>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</si>
  <si>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</si>
  <si>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</si>
  <si>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</si>
  <si>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</si>
  <si>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</si>
  <si>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</si>
  <si>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</si>
  <si>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</si>
  <si>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</si>
  <si>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</si>
  <si>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</si>
  <si>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</si>
  <si>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</si>
  <si>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</si>
  <si>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</si>
  <si>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</si>
  <si>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</si>
  <si>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</si>
  <si>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</si>
  <si>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</si>
  <si>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</si>
  <si>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</si>
  <si>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</si>
  <si>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</si>
  <si>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</si>
  <si>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</si>
  <si>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</si>
  <si>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</si>
  <si>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</si>
  <si>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</si>
  <si>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</si>
  <si>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</si>
  <si>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</si>
  <si>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</si>
  <si>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</si>
  <si>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</si>
  <si>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</si>
  <si>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</si>
  <si>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</si>
  <si>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</si>
  <si>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</si>
  <si>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</si>
  <si>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</si>
  <si>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</si>
  <si>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</si>
  <si>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</si>
  <si>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</si>
  <si>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</si>
  <si>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</si>
  <si>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</si>
  <si>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</si>
  <si>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</si>
  <si>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</si>
  <si>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</si>
  <si>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</si>
  <si>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</si>
  <si>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</si>
  <si>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</si>
  <si>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</si>
  <si>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</si>
  <si>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</si>
  <si>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</si>
  <si>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</si>
  <si>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</si>
  <si>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</si>
  <si>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</si>
  <si>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</si>
  <si>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</si>
  <si>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</si>
  <si>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</si>
  <si>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</si>
  <si>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</si>
  <si>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</si>
  <si>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</si>
  <si>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</si>
  <si>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</si>
  <si>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</si>
  <si>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</si>
  <si>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</si>
  <si>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</si>
  <si>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</si>
  <si>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</si>
  <si>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</si>
  <si>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</si>
  <si>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</si>
  <si>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</si>
  <si>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</si>
  <si>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</si>
  <si>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</si>
  <si>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</si>
  <si>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</si>
  <si>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</si>
  <si>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</si>
  <si>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</si>
  <si>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</si>
  <si>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</si>
  <si>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</si>
  <si>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</si>
  <si>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</si>
  <si>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</si>
  <si>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</si>
  <si>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</si>
  <si>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</si>
  <si>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</si>
  <si>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</si>
  <si>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</si>
  <si>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</si>
  <si>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</si>
  <si>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</si>
  <si>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</si>
  <si>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</si>
  <si>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</si>
  <si>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</si>
  <si>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</si>
  <si>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</si>
  <si>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</si>
  <si>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</si>
  <si>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</si>
  <si>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</si>
  <si>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</si>
  <si>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</si>
  <si>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</si>
  <si>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</si>
  <si>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</si>
  <si>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</si>
  <si>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</si>
  <si>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</si>
  <si>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</si>
  <si>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</si>
  <si>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</si>
  <si>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</si>
  <si>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</si>
  <si>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</si>
  <si>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</si>
  <si>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</si>
  <si>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</si>
  <si>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</si>
  <si>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</si>
  <si>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</si>
  <si>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</si>
  <si>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</si>
  <si>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</si>
  <si>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</si>
  <si>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</si>
  <si>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</si>
  <si>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</si>
  <si>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</si>
  <si>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</si>
  <si>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</si>
  <si>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</si>
  <si>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</si>
  <si>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</si>
  <si>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</si>
  <si>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</si>
  <si>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</si>
  <si>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</si>
  <si>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</si>
  <si>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</si>
  <si>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</si>
  <si>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</si>
  <si>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</si>
  <si>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</si>
  <si>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</si>
  <si>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</si>
  <si>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</si>
  <si>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</si>
  <si>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</si>
  <si>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</si>
  <si>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</si>
  <si>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</si>
  <si>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</si>
  <si>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</si>
  <si>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</si>
  <si>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</si>
  <si>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</si>
  <si>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</si>
  <si>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</si>
  <si>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</si>
  <si>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</si>
  <si>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</si>
  <si>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</si>
  <si>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</si>
  <si>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</si>
  <si>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</si>
  <si>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</si>
  <si>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</si>
  <si>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</si>
  <si>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</si>
  <si>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</si>
  <si>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</si>
  <si>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</si>
  <si>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</si>
  <si>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</si>
  <si>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</si>
  <si>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</si>
  <si>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</si>
  <si>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</si>
  <si>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</si>
  <si>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</si>
  <si>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</si>
  <si>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</si>
  <si>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</si>
  <si>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</si>
  <si>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</si>
  <si>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</si>
  <si>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</si>
  <si>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</si>
  <si>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</si>
  <si>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</si>
  <si>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</si>
  <si>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</si>
  <si>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</si>
  <si>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</si>
  <si>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</si>
  <si>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</si>
  <si>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</si>
  <si>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</si>
  <si>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</si>
  <si>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</si>
  <si>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</si>
  <si>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</si>
  <si>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</si>
  <si>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</si>
  <si>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</si>
  <si>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</si>
  <si>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</si>
  <si>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</si>
  <si>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</si>
  <si>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</si>
  <si>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</si>
  <si>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</si>
  <si>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</si>
  <si>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</si>
  <si>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</si>
  <si>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</si>
  <si>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</si>
  <si>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</si>
  <si>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</si>
  <si>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</si>
  <si>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</si>
  <si>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</si>
  <si>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</si>
  <si>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</si>
  <si>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</si>
  <si>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</si>
  <si>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</si>
  <si>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</si>
  <si>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</si>
  <si>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</si>
  <si>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</si>
  <si>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</si>
  <si>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</si>
  <si>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</si>
  <si>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</si>
  <si>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</si>
  <si>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</si>
  <si>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</si>
  <si>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</si>
  <si>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</si>
  <si>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</si>
  <si>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</si>
  <si>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</si>
  <si>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</si>
  <si>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</si>
  <si>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</si>
  <si>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</si>
  <si>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</si>
  <si>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</si>
  <si>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</si>
  <si>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</si>
  <si>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</si>
  <si>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</si>
  <si>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</si>
  <si>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</si>
  <si>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</si>
  <si>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</si>
  <si>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</si>
  <si>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</si>
  <si>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</si>
  <si>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</si>
  <si>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</si>
  <si>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</si>
  <si>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</si>
  <si>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</si>
  <si>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</si>
  <si>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</si>
  <si>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</si>
  <si>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</si>
  <si>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</si>
  <si>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</si>
  <si>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</si>
  <si>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</si>
  <si>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</si>
  <si>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</si>
  <si>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</si>
  <si>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</si>
  <si>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</si>
  <si>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</si>
  <si>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</si>
  <si>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</si>
  <si>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</si>
  <si>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</si>
  <si>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</si>
  <si>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</si>
  <si>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</si>
  <si>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</si>
  <si>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</si>
  <si>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</si>
  <si>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</si>
  <si>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</si>
  <si>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</si>
  <si>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</si>
  <si>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</si>
  <si>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</si>
  <si>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</si>
  <si>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</si>
  <si>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</si>
  <si>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</si>
  <si>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</si>
  <si>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</si>
  <si>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</si>
  <si>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</si>
  <si>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</si>
  <si>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</si>
  <si>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</si>
  <si>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</si>
  <si>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</si>
  <si>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</si>
  <si>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</si>
  <si>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</si>
  <si>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</si>
  <si>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</si>
  <si>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</si>
  <si>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</si>
  <si>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</si>
  <si>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</si>
  <si>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</si>
  <si>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</si>
  <si>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</si>
  <si>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</si>
  <si>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</si>
  <si>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</si>
  <si>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</si>
  <si>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</si>
  <si>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</si>
  <si>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</si>
  <si>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</si>
  <si>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</si>
  <si>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</si>
  <si>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</si>
  <si>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</si>
  <si>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</si>
  <si>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</si>
  <si>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</si>
  <si>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</si>
  <si>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</si>
  <si>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</si>
  <si>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</si>
  <si>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</si>
  <si>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</si>
  <si>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</si>
  <si>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</si>
  <si>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</si>
  <si>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</si>
  <si>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</si>
  <si>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</si>
  <si>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</si>
  <si>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</si>
  <si>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</si>
  <si>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</si>
  <si>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</si>
  <si>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</si>
  <si>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</si>
  <si>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</si>
  <si>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</si>
  <si>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</si>
  <si>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</si>
  <si>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</si>
  <si>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</si>
  <si>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</si>
  <si>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</si>
  <si>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</si>
  <si>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</si>
  <si>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</si>
  <si>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</si>
  <si>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</si>
  <si>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</si>
  <si>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</si>
  <si>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</si>
  <si>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</si>
  <si>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</si>
  <si>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</si>
  <si>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</si>
  <si>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</si>
  <si>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</si>
  <si>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</si>
  <si>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</si>
  <si>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</si>
  <si>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</si>
  <si>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</si>
  <si>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</si>
  <si>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</si>
  <si>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</si>
  <si>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</si>
  <si>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</si>
  <si>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</si>
  <si>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</si>
  <si>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</si>
  <si>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</si>
  <si>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</si>
  <si>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</si>
  <si>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</si>
  <si>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</si>
  <si>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</si>
  <si>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</si>
  <si>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</si>
  <si>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</si>
  <si>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</si>
  <si>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</si>
  <si>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</si>
  <si>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</si>
  <si>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</si>
  <si>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</si>
  <si>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</si>
  <si>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</si>
  <si>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</si>
  <si>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</si>
  <si>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</si>
  <si>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</si>
  <si>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</si>
  <si>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</si>
  <si>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</si>
  <si>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</si>
  <si>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</si>
  <si>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</si>
  <si>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</si>
  <si>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</si>
  <si>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</si>
  <si>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</si>
  <si>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</si>
  <si>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</si>
  <si>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</si>
  <si>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</si>
  <si>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</si>
  <si>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</si>
  <si>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</si>
  <si>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</si>
  <si>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</si>
  <si>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</si>
  <si>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</si>
  <si>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</si>
  <si>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</si>
  <si>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</si>
  <si>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</si>
  <si>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</si>
  <si>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</si>
  <si>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</si>
  <si>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</si>
  <si>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</si>
  <si>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</si>
  <si>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</si>
  <si>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</si>
  <si>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</si>
  <si>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</si>
  <si>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</si>
  <si>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</si>
  <si>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</si>
  <si>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</si>
  <si>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</si>
  <si>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</si>
  <si>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</si>
  <si>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</si>
  <si>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</si>
  <si>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</si>
  <si>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</si>
  <si>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</si>
  <si>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</si>
  <si>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</si>
  <si>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</si>
  <si>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</si>
  <si>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</si>
  <si>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</si>
  <si>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</si>
  <si>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</si>
  <si>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</si>
  <si>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</si>
  <si>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</si>
  <si>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</si>
  <si>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</si>
  <si>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</si>
  <si>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</si>
  <si>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</si>
  <si>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</si>
  <si>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</si>
  <si>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</si>
  <si>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</si>
  <si>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</si>
  <si>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</si>
  <si>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</si>
  <si>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</si>
  <si>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</si>
  <si>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</si>
  <si>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</si>
  <si>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</si>
  <si>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</si>
  <si>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</si>
  <si>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</si>
  <si>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</si>
  <si>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</si>
  <si>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</si>
  <si>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</si>
  <si>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</si>
  <si>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</si>
  <si>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</si>
  <si>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</si>
  <si>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</si>
  <si>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</si>
  <si>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</si>
  <si>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</si>
  <si>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</si>
  <si>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</si>
  <si>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</si>
  <si>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</si>
  <si>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</si>
  <si>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</si>
  <si>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</si>
  <si>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</si>
  <si>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</si>
  <si>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</si>
  <si>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</si>
  <si>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</si>
  <si>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</si>
  <si>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</si>
  <si>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</si>
  <si>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</si>
  <si>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</si>
  <si>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</si>
  <si>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</si>
  <si>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</si>
  <si>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</si>
  <si>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</si>
  <si>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</si>
  <si>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</si>
  <si>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</si>
  <si>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</si>
  <si>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</si>
  <si>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</si>
  <si>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</si>
  <si>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</si>
  <si>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</si>
  <si>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</si>
  <si>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</si>
  <si>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</si>
  <si>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</si>
  <si>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</si>
  <si>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</si>
  <si>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</si>
  <si>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</si>
  <si>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</si>
  <si>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</si>
  <si>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</si>
  <si>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</si>
  <si>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</si>
  <si>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</si>
  <si>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</si>
  <si>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</si>
  <si>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</si>
  <si>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</si>
  <si>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</si>
  <si>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</si>
  <si>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</si>
  <si>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</si>
  <si>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</si>
  <si>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</si>
  <si>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</si>
  <si>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</si>
  <si>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</si>
  <si>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</si>
  <si>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</si>
  <si>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</si>
  <si>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</si>
  <si>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</si>
  <si>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</si>
  <si>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</si>
  <si>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</si>
  <si>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</si>
  <si>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</si>
  <si>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</si>
  <si>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</si>
  <si>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</si>
  <si>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</si>
  <si>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</si>
  <si>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</si>
  <si>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</si>
  <si>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</si>
  <si>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</si>
  <si>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</si>
  <si>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</si>
  <si>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</si>
  <si>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</si>
  <si>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</si>
  <si>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</si>
  <si>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</si>
  <si>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</si>
  <si>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</si>
  <si>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</si>
  <si>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</si>
  <si>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</si>
  <si>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</si>
  <si>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</si>
  <si>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</si>
  <si>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</si>
  <si>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</si>
  <si>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</si>
  <si>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</si>
  <si>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</si>
  <si>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</si>
  <si>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</si>
  <si>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</si>
  <si>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</si>
  <si>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</si>
  <si>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</si>
  <si>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</si>
  <si>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</si>
  <si>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</si>
  <si>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</si>
  <si>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</si>
  <si>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</si>
  <si>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</si>
  <si>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</si>
  <si>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</si>
  <si>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</si>
  <si>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</si>
  <si>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</si>
  <si>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</si>
  <si>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</si>
  <si>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</si>
  <si>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</si>
  <si>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</si>
  <si>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</si>
  <si>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</si>
  <si>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</si>
  <si>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</si>
  <si>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</si>
  <si>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</si>
  <si>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</si>
  <si>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</si>
  <si>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</si>
  <si>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</si>
  <si>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</si>
  <si>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</si>
  <si>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</si>
  <si>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</si>
  <si>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</si>
  <si>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</si>
  <si>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</si>
  <si>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</si>
  <si>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</si>
  <si>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</si>
  <si>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</si>
  <si>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</si>
  <si>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</si>
  <si>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</si>
  <si>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</si>
  <si>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</si>
  <si>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</si>
  <si>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</si>
  <si>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</si>
  <si>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</si>
  <si>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</si>
  <si>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</si>
  <si>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</si>
  <si>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</si>
  <si>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</si>
  <si>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</si>
  <si>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</si>
  <si>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</si>
  <si>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</si>
  <si>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</si>
  <si>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</si>
  <si>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</si>
  <si>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</si>
  <si>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</si>
  <si>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</si>
  <si>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</si>
  <si>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</si>
  <si>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</si>
  <si>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</si>
  <si>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</si>
  <si>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</si>
  <si>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</si>
  <si>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</si>
  <si>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</si>
  <si>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</si>
  <si>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</si>
  <si>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</si>
  <si>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</si>
  <si>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</si>
  <si>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</si>
  <si>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</si>
  <si>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</si>
  <si>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</si>
  <si>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</si>
  <si>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</si>
  <si>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</si>
  <si>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</si>
  <si>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</si>
  <si>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</si>
  <si>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</si>
  <si>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</si>
  <si>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</si>
  <si>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</si>
  <si>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</si>
  <si>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</si>
  <si>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</si>
  <si>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</si>
  <si>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</si>
  <si>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</si>
  <si>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</si>
  <si>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</si>
  <si>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</si>
  <si>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</si>
  <si>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</si>
  <si>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</si>
  <si>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</si>
  <si>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</si>
  <si>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</si>
  <si>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</si>
  <si>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</si>
  <si>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</si>
  <si>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</si>
  <si>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</si>
  <si>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</si>
  <si>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</si>
  <si>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</si>
  <si>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</si>
  <si>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</si>
  <si>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</si>
  <si>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</si>
  <si>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</si>
  <si>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</si>
  <si>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</si>
  <si>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</si>
  <si>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</si>
  <si>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</si>
  <si>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</si>
  <si>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</si>
  <si>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</si>
  <si>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</si>
  <si>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</si>
  <si>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</si>
  <si>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</si>
  <si>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</si>
  <si>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</si>
  <si>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</si>
  <si>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</si>
  <si>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</si>
  <si>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</si>
  <si>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</si>
  <si>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</si>
  <si>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</si>
  <si>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</si>
  <si>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</si>
  <si>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</si>
  <si>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</si>
  <si>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</si>
  <si>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</si>
  <si>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</si>
  <si>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</si>
  <si>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</si>
  <si>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</si>
  <si>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</si>
  <si>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</si>
  <si>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</si>
  <si>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</si>
  <si>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</si>
  <si>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</si>
  <si>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</si>
  <si>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</si>
  <si>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</si>
  <si>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</si>
  <si>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</si>
  <si>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</si>
  <si>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</si>
  <si>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</si>
  <si>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</si>
  <si>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</si>
  <si>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</si>
  <si>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</si>
  <si>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</si>
  <si>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</si>
  <si>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</si>
  <si>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</si>
  <si>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</si>
  <si>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</si>
  <si>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</si>
  <si>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</si>
  <si>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</si>
  <si>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</si>
  <si>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</si>
  <si>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</si>
  <si>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</si>
  <si>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</si>
  <si>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</si>
  <si>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</si>
  <si>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</si>
  <si>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</si>
  <si>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</si>
  <si>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</si>
  <si>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</si>
  <si>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</si>
  <si>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</si>
  <si>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</si>
  <si>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</si>
  <si>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</si>
  <si>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</si>
  <si>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</si>
  <si>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</si>
  <si>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</si>
  <si>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</si>
  <si>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</si>
  <si>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</si>
  <si>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</si>
  <si>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</si>
  <si>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</si>
  <si>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</si>
  <si>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</si>
  <si>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</si>
  <si>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</si>
  <si>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</si>
  <si>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</si>
  <si>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</si>
  <si>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</si>
  <si>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</si>
  <si>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</si>
  <si>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</si>
  <si>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</si>
  <si>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</si>
  <si>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</si>
  <si>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</si>
  <si>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</si>
  <si>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</si>
  <si>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</si>
  <si>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</si>
  <si>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</si>
  <si>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</si>
  <si>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</si>
  <si>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</si>
  <si>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</si>
  <si>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</si>
  <si>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</si>
  <si>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</si>
  <si>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</si>
  <si>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</si>
  <si>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</si>
  <si>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</si>
  <si>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</si>
  <si>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</si>
  <si>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</si>
  <si>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</si>
  <si>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</si>
  <si>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</si>
  <si>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</si>
  <si>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</si>
  <si>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</si>
  <si>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</si>
  <si>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</si>
  <si>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</si>
  <si>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</si>
  <si>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</si>
  <si>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</si>
  <si>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</si>
  <si>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</si>
  <si>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</si>
  <si>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</si>
  <si>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</si>
  <si>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</si>
  <si>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</si>
  <si>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</si>
  <si>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</si>
  <si>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</si>
  <si>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</si>
  <si>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</si>
  <si>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</si>
  <si>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</si>
  <si>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</si>
  <si>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</si>
  <si>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</si>
  <si>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</si>
  <si>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</si>
  <si>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</si>
  <si>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</si>
  <si>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</si>
  <si>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</si>
  <si>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</si>
  <si>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</si>
  <si>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</si>
  <si>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</si>
  <si>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</si>
  <si>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</si>
  <si>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</si>
  <si>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</si>
  <si>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</si>
  <si>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</si>
  <si>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</si>
  <si>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</si>
  <si>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</si>
  <si>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</si>
  <si>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</si>
  <si>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</si>
  <si>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</si>
  <si>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</si>
  <si>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</si>
  <si>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</si>
  <si>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</si>
  <si>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</si>
  <si>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</si>
  <si>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</si>
  <si>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</si>
  <si>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</si>
  <si>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</si>
  <si>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</si>
  <si>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</si>
  <si>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</si>
  <si>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</si>
  <si>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</si>
  <si>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</si>
  <si>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</si>
  <si>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</si>
  <si>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</si>
  <si>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</si>
  <si>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</si>
  <si>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</si>
  <si>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</si>
  <si>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</si>
  <si>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</si>
  <si>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</si>
  <si>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</si>
  <si>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</si>
  <si>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</si>
  <si>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</si>
  <si>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</si>
  <si>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</si>
  <si>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</si>
  <si>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</si>
  <si>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</si>
  <si>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</si>
  <si>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</si>
  <si>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</si>
  <si>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</si>
  <si>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</si>
  <si>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</si>
  <si>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</si>
  <si>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</si>
  <si>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</si>
  <si>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</si>
  <si>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</si>
  <si>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</si>
  <si>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</si>
  <si>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</si>
  <si>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</si>
  <si>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</si>
  <si>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</si>
  <si>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</si>
  <si>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</si>
  <si>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</si>
  <si>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</si>
  <si>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</si>
  <si>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</si>
  <si>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</si>
  <si>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</si>
  <si>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</si>
  <si>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</si>
  <si>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</si>
  <si>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</si>
  <si>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</si>
  <si>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</si>
  <si>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</si>
  <si>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</si>
  <si>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</si>
  <si>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</si>
  <si>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</si>
  <si>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</si>
  <si>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</si>
  <si>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</si>
  <si>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</si>
  <si>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</si>
  <si>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</si>
  <si>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</si>
  <si>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</si>
  <si>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</si>
  <si>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</si>
  <si>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</si>
  <si>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</si>
  <si>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</si>
  <si>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</si>
  <si>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</si>
  <si>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</si>
  <si>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</si>
  <si>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</si>
  <si>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</si>
  <si>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</si>
  <si>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</si>
  <si>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</si>
  <si>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</si>
  <si>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</si>
  <si>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</si>
  <si>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</si>
  <si>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</si>
  <si>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</si>
  <si>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</si>
  <si>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</si>
  <si>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</si>
  <si>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</si>
  <si>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</si>
  <si>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</si>
  <si>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</si>
  <si>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</si>
  <si>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</si>
  <si>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</si>
  <si>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</si>
  <si>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</si>
  <si>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</si>
  <si>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</si>
  <si>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</si>
  <si>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</si>
  <si>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</si>
  <si>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</si>
  <si>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</si>
  <si>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</si>
  <si>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</si>
  <si>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</si>
  <si>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</si>
  <si>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</si>
  <si>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</si>
  <si>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</si>
  <si>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</si>
  <si>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</si>
  <si>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</si>
  <si>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</si>
  <si>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</si>
  <si>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</si>
  <si>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</si>
  <si>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</si>
  <si>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</si>
  <si>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</si>
  <si>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</si>
  <si>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</si>
  <si>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</si>
  <si>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</si>
  <si>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</si>
  <si>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</si>
  <si>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</si>
  <si>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</si>
  <si>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</si>
  <si>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</si>
  <si>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</si>
  <si>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</si>
  <si>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</si>
  <si>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</si>
  <si>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</si>
  <si>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</si>
  <si>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</si>
  <si>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</si>
  <si>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</si>
  <si>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</si>
  <si>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</si>
  <si>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</si>
  <si>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</si>
  <si>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</si>
  <si>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</si>
  <si>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</si>
  <si>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</si>
  <si>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</si>
  <si>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</si>
  <si>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</si>
  <si>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</si>
  <si>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</si>
  <si>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</si>
  <si>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</si>
  <si>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</si>
  <si>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</si>
  <si>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</si>
  <si>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</si>
  <si>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</si>
  <si>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</si>
  <si>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</si>
  <si>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</si>
  <si>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</si>
  <si>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</si>
  <si>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</si>
  <si>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</si>
  <si>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</si>
  <si>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</si>
  <si>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</si>
  <si>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</si>
  <si>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</si>
  <si>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</si>
  <si>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</si>
  <si>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</si>
  <si>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</si>
  <si>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</si>
  <si>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</si>
  <si>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</si>
  <si>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</si>
  <si>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</si>
  <si>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</si>
  <si>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</si>
  <si>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</si>
  <si>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</si>
  <si>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</si>
  <si>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</si>
  <si>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</si>
  <si>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</si>
  <si>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</si>
  <si>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</si>
  <si>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</si>
  <si>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</si>
  <si>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</si>
  <si>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</si>
  <si>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</si>
  <si>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</si>
  <si>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</si>
  <si>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</si>
  <si>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</si>
  <si>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</si>
  <si>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</si>
  <si>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</si>
  <si>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</si>
  <si>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</si>
  <si>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</si>
  <si>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</si>
  <si>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</si>
  <si>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</si>
  <si>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</si>
  <si>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</si>
  <si>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</si>
  <si>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</si>
  <si>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</si>
  <si>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</si>
  <si>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</si>
  <si>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</si>
  <si>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</si>
  <si>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</si>
  <si>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</si>
  <si>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</si>
  <si>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</si>
  <si>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</si>
  <si>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</si>
  <si>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</si>
  <si>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</si>
  <si>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</si>
  <si>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</si>
  <si>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</si>
  <si>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</si>
  <si>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</si>
  <si>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</si>
  <si>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</si>
  <si>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</si>
  <si>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</si>
  <si>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</si>
  <si>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</si>
  <si>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</si>
  <si>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</si>
  <si>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</si>
  <si>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</si>
  <si>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</si>
  <si>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</si>
  <si>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</si>
  <si>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</si>
  <si>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</si>
  <si>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</si>
  <si>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</si>
  <si>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</si>
  <si>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</si>
  <si>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</si>
  <si>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</si>
  <si>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</si>
  <si>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</si>
  <si>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</si>
  <si>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</si>
  <si>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</si>
  <si>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</si>
  <si>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</si>
  <si>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</si>
  <si>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</si>
  <si>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</si>
  <si>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</si>
  <si>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</si>
  <si>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</si>
  <si>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</si>
  <si>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</si>
  <si>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</si>
  <si>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</si>
  <si>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</si>
  <si>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</si>
  <si>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</si>
  <si>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</si>
  <si>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</si>
  <si>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</si>
  <si>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</si>
  <si>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</si>
  <si>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</si>
  <si>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</si>
  <si>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</si>
  <si>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</si>
  <si>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</si>
  <si>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</si>
  <si>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</si>
  <si>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</si>
  <si>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</si>
  <si>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</si>
  <si>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</si>
  <si>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</si>
  <si>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</si>
  <si>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</si>
  <si>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</si>
  <si>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</si>
  <si>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</si>
  <si>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</si>
  <si>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</si>
  <si>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</si>
  <si>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</si>
  <si>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</si>
  <si>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</si>
  <si>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</si>
  <si>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</si>
  <si>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</si>
  <si>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</si>
  <si>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</si>
  <si>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</si>
  <si>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</si>
  <si>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</si>
  <si>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</si>
  <si>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</si>
  <si>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</si>
  <si>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</si>
  <si>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</si>
  <si>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</si>
  <si>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</si>
  <si>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</si>
  <si>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</si>
  <si>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</si>
  <si>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</si>
  <si>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</si>
  <si>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</si>
  <si>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</si>
  <si>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</si>
  <si>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</si>
  <si>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</si>
  <si>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</si>
  <si>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</si>
  <si>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</si>
  <si>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</si>
  <si>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</si>
  <si>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</si>
  <si>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</si>
  <si>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</si>
  <si>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</si>
  <si>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</si>
  <si>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</si>
  <si>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</si>
  <si>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</si>
  <si>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</si>
  <si>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</si>
  <si>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</si>
  <si>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</si>
  <si>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</si>
  <si>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</si>
  <si>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</si>
  <si>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</si>
  <si>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</si>
  <si>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</si>
  <si>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</si>
  <si>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</si>
  <si>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</si>
  <si>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</si>
  <si>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</si>
  <si>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</si>
  <si>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</si>
  <si>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</si>
  <si>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</si>
  <si>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</si>
  <si>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</si>
  <si>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</si>
  <si>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</si>
  <si>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</si>
  <si>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</si>
  <si>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</si>
  <si>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</si>
  <si>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</si>
  <si>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</si>
  <si>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</si>
  <si>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</si>
  <si>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</si>
  <si>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</si>
  <si>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</si>
  <si>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</si>
  <si>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</si>
  <si>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</si>
  <si>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</si>
  <si>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</si>
  <si>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</si>
  <si>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</si>
  <si>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</si>
  <si>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</si>
  <si>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</si>
  <si>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</si>
  <si>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</si>
  <si>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</si>
  <si>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</si>
  <si>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</si>
  <si>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</si>
  <si>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</si>
  <si>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</si>
  <si>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</si>
  <si>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</si>
  <si>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</si>
  <si>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</si>
  <si>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</si>
  <si>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</si>
  <si>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</si>
  <si>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</si>
  <si>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</si>
  <si>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</si>
  <si>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</si>
  <si>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</si>
  <si>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</si>
  <si>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</si>
  <si>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</si>
  <si>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</si>
  <si>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</si>
  <si>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</si>
  <si>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</si>
  <si>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</si>
  <si>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</si>
  <si>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</si>
  <si>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</si>
  <si>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</si>
  <si>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</si>
  <si>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</si>
  <si>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</si>
  <si>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</si>
  <si>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</si>
  <si>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</si>
  <si>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</si>
  <si>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</si>
  <si>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</si>
  <si>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</si>
  <si>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</si>
  <si>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</si>
  <si>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</si>
  <si>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</si>
  <si>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</si>
  <si>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</si>
  <si>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</si>
  <si>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</si>
  <si>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</si>
  <si>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</si>
  <si>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</si>
  <si>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</si>
  <si>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</si>
  <si>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</si>
  <si>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</si>
  <si>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</si>
  <si>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</si>
  <si>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</si>
  <si>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</si>
  <si>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</si>
  <si>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</si>
  <si>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</si>
  <si>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</si>
  <si>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</si>
  <si>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</si>
  <si>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</si>
  <si>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</si>
  <si>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</si>
  <si>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</si>
  <si>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</si>
  <si>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</si>
  <si>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</si>
  <si>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</si>
  <si>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</si>
  <si>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</si>
  <si>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</si>
  <si>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</si>
  <si>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</si>
  <si>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</si>
  <si>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</si>
  <si>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</si>
  <si>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</si>
  <si>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</si>
  <si>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</si>
  <si>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</si>
  <si>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</si>
  <si>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</si>
  <si>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179997 Site</t>
  </si>
  <si>
    <t>Laborers</t>
  </si>
  <si>
    <t>Swanson, Scott</t>
  </si>
  <si>
    <t>Storch, Jeffrey A</t>
  </si>
  <si>
    <t>Crump Jr., Todd</t>
  </si>
  <si>
    <t>Operators</t>
  </si>
  <si>
    <t>Bashaw, Scott</t>
  </si>
  <si>
    <t>Carpenter, Brad</t>
  </si>
  <si>
    <t>Smith, Claire</t>
  </si>
  <si>
    <t>Operators (M)</t>
  </si>
  <si>
    <t>Operators (F)</t>
  </si>
  <si>
    <t>Total (M)</t>
  </si>
  <si>
    <t>Total (F)</t>
  </si>
  <si>
    <t>Total for Reporting Period</t>
  </si>
  <si>
    <t>trades</t>
  </si>
  <si>
    <t>Paid for w/e date</t>
  </si>
  <si>
    <t>Construction Laborers</t>
  </si>
  <si>
    <t>47-2061</t>
  </si>
  <si>
    <t>Operating Engineers and Other Construction Equipment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</si>
</sst>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;;"/>
    <numFmt numFmtId="165" formatCode="&quot;$&quot;#,##0"/>
    <numFmt numFmtId="166" formatCode="_([$$-409]* #,##0.00_);_([$$-409]* \(#,##0.00\);_([$$-409]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14" fontId="0" fillId="0" borderId="0" xfId="0" applyNumberFormat="1"/>
    <xf numFmtId="166" fontId="0" fillId="0" borderId="0" xfId="0" applyNumberFormat="1"/>
    <xf numFmtId="166" fontId="0" fillId="4" borderId="0" xfId="0" applyNumberFormat="1" applyFill="1"/>
    <xf numFmtId="166" fontId="0" fillId="0" borderId="16" xfId="0" applyNumberFormat="1" applyBorder="1"/>
    <xf numFmtId="166" fontId="0" fillId="0" borderId="17" xfId="0" applyNumberFormat="1" applyBorder="1"/>
    <xf numFmtId="166" fontId="0" fillId="0" borderId="0" xfId="0" applyNumberFormat="1" applyBorder="1"/>
    <xf numFmtId="166" fontId="0" fillId="0" borderId="19" xfId="0" applyNumberFormat="1" applyBorder="1"/>
    <xf numFmtId="0" fontId="0" fillId="4" borderId="20" xfId="0" applyFill="1" applyBorder="1"/>
    <xf numFmtId="166" fontId="0" fillId="4" borderId="21" xfId="0" applyNumberFormat="1" applyFill="1" applyBorder="1"/>
    <xf numFmtId="166" fontId="0" fillId="4" borderId="22" xfId="0" applyNumberFormat="1" applyFill="1" applyBorder="1"/>
    <xf numFmtId="0" fontId="0" fillId="0" borderId="0" xfId="0" applyAlignment="1">
      <alignment horizontal="right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26</xdr:col>
          <xdr:colOff>22860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D22" zoomScale="130" zoomScaleNormal="130" zoomScalePageLayoutView="96" workbookViewId="0">
      <selection activeCell="D26" sqref="D26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85" t="s">
        <v>322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9" t="s">
        <v>0</v>
      </c>
      <c r="E5" s="134"/>
      <c r="F5" s="134"/>
      <c r="G5" s="130"/>
      <c r="H5" s="130"/>
      <c r="I5" s="184" t="s">
        <v>321</v>
      </c>
      <c r="J5" s="184"/>
      <c r="K5" s="184"/>
      <c r="L5" s="184"/>
      <c r="M5" s="184"/>
      <c r="N5" s="184"/>
      <c r="O5" s="184"/>
      <c r="P5" s="184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96"/>
      <c r="F6" s="194"/>
      <c r="G6" s="132"/>
      <c r="H6" s="40"/>
      <c r="I6" s="194"/>
      <c r="J6" s="194"/>
      <c r="K6" s="194"/>
      <c r="L6" s="194"/>
      <c r="M6" s="194"/>
      <c r="N6" s="194"/>
      <c r="O6" s="194"/>
      <c r="P6" s="194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93"/>
      <c r="N7" s="193"/>
      <c r="O7" s="193"/>
      <c r="P7" s="193"/>
      <c r="Q7" s="132"/>
      <c r="R7" s="71"/>
      <c r="S7" s="43" t="s">
        <v>6</v>
      </c>
      <c r="T7" s="116"/>
      <c r="U7" s="70"/>
      <c r="V7" s="2"/>
      <c r="W7" s="2"/>
      <c r="X7" s="197" t="s">
        <v>1835</v>
      </c>
      <c r="Y7" s="198"/>
      <c r="Z7" s="198"/>
      <c r="AA7" s="137"/>
      <c r="AB7" s="137"/>
      <c r="AC7" s="137"/>
      <c r="AD7" s="137"/>
      <c r="AE7" s="138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65" t="s">
        <v>1837</v>
      </c>
      <c r="E8" s="165"/>
      <c r="F8" s="165"/>
      <c r="G8" s="70"/>
      <c r="H8" s="41"/>
      <c r="I8" s="177"/>
      <c r="J8" s="195"/>
      <c r="K8" s="178"/>
      <c r="L8" s="177"/>
      <c r="M8" s="178"/>
      <c r="N8" s="131"/>
      <c r="O8" s="177"/>
      <c r="P8" s="178"/>
      <c r="Q8" s="132"/>
      <c r="R8" s="38"/>
      <c r="S8" s="43" t="s">
        <v>7</v>
      </c>
      <c r="T8" s="116"/>
      <c r="U8" s="53"/>
      <c r="V8" s="2"/>
      <c r="W8" s="2"/>
      <c r="X8" s="190" t="s">
        <v>1836</v>
      </c>
      <c r="Y8" s="191"/>
      <c r="Z8" s="191"/>
      <c r="AA8" s="191"/>
      <c r="AB8" s="191"/>
      <c r="AC8" s="191"/>
      <c r="AD8" s="191"/>
      <c r="AE8" s="192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65" t="s">
        <v>1838</v>
      </c>
      <c r="E9" s="165"/>
      <c r="F9" s="165"/>
      <c r="G9" s="70"/>
      <c r="H9" s="41"/>
      <c r="I9" s="177"/>
      <c r="J9" s="195"/>
      <c r="K9" s="178"/>
      <c r="L9" s="177"/>
      <c r="M9" s="178"/>
      <c r="N9" s="131"/>
      <c r="O9" s="177"/>
      <c r="P9" s="178"/>
      <c r="Q9" s="132"/>
      <c r="R9" s="38"/>
      <c r="S9" s="43" t="s">
        <v>8</v>
      </c>
      <c r="T9" s="116"/>
      <c r="U9" s="70"/>
      <c r="V9" s="2"/>
      <c r="W9" s="2"/>
      <c r="X9" s="86"/>
      <c r="Y9" s="87"/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1839</v>
      </c>
      <c r="E10" s="32"/>
      <c r="F10" s="32"/>
      <c r="G10" s="70"/>
      <c r="H10" s="41"/>
      <c r="I10" s="166"/>
      <c r="J10" s="166"/>
      <c r="K10" s="166"/>
      <c r="L10" s="166"/>
      <c r="M10" s="166"/>
      <c r="N10" s="127"/>
      <c r="O10" s="166"/>
      <c r="P10" s="166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81"/>
      <c r="E11" s="182"/>
      <c r="F11" s="183"/>
      <c r="G11" s="53"/>
      <c r="H11" s="41"/>
      <c r="I11" s="166"/>
      <c r="J11" s="166"/>
      <c r="K11" s="166"/>
      <c r="L11" s="166"/>
      <c r="M11" s="166"/>
      <c r="N11" s="127"/>
      <c r="O11" s="166"/>
      <c r="P11" s="166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86"/>
      <c r="E13" s="187"/>
      <c r="F13" s="188"/>
      <c r="G13" s="115"/>
      <c r="H13" s="41"/>
      <c r="I13" s="176" t="s">
        <v>5</v>
      </c>
      <c r="J13" s="176"/>
      <c r="K13" s="176"/>
      <c r="L13" s="176"/>
      <c r="M13" s="176"/>
      <c r="N13" s="176"/>
      <c r="O13" s="176"/>
      <c r="P13" s="176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65" t="s">
        <v>1840</v>
      </c>
      <c r="E14" s="165"/>
      <c r="F14" s="165"/>
      <c r="G14" s="70"/>
      <c r="H14" s="41"/>
      <c r="I14" s="166"/>
      <c r="J14" s="166"/>
      <c r="K14" s="166"/>
      <c r="L14" s="166"/>
      <c r="M14" s="166"/>
      <c r="N14" s="166"/>
      <c r="O14" s="166"/>
      <c r="P14" s="166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139" t="s">
        <v>1841</v>
      </c>
      <c r="E15" s="41"/>
      <c r="F15" s="41"/>
      <c r="G15" s="41"/>
      <c r="H15" s="41"/>
      <c r="I15" s="166"/>
      <c r="J15" s="166"/>
      <c r="K15" s="166"/>
      <c r="L15" s="166"/>
      <c r="M15" s="166"/>
      <c r="N15" s="166"/>
      <c r="O15" s="166"/>
      <c r="P15" s="166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7" t="s">
        <v>11</v>
      </c>
      <c r="D18" s="179" t="s">
        <v>9</v>
      </c>
      <c r="E18" s="167" t="s">
        <v>10</v>
      </c>
      <c r="F18" s="171" t="s">
        <v>1825</v>
      </c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3"/>
      <c r="AJ18" s="2"/>
      <c r="AK18" s="2"/>
    </row>
    <row r="19" spans="1:37" ht="46.5" customHeight="1" thickBot="1" x14ac:dyDescent="0.35">
      <c r="A19" s="2"/>
      <c r="B19" s="2"/>
      <c r="C19" s="168"/>
      <c r="D19" s="180"/>
      <c r="E19" s="168"/>
      <c r="F19" s="169" t="s">
        <v>1</v>
      </c>
      <c r="G19" s="169"/>
      <c r="H19" s="169"/>
      <c r="I19" s="169"/>
      <c r="J19" s="169"/>
      <c r="K19" s="170"/>
      <c r="L19" s="174" t="s">
        <v>13</v>
      </c>
      <c r="M19" s="169"/>
      <c r="N19" s="169"/>
      <c r="O19" s="169"/>
      <c r="P19" s="169"/>
      <c r="Q19" s="170"/>
      <c r="R19" s="174" t="s">
        <v>12</v>
      </c>
      <c r="S19" s="169"/>
      <c r="T19" s="169"/>
      <c r="U19" s="169"/>
      <c r="V19" s="169"/>
      <c r="W19" s="170"/>
      <c r="X19" s="199" t="s">
        <v>1826</v>
      </c>
      <c r="Y19" s="200"/>
      <c r="Z19" s="200"/>
      <c r="AA19" s="200"/>
      <c r="AB19" s="200"/>
      <c r="AC19" s="201"/>
      <c r="AD19" s="157" t="s">
        <v>14</v>
      </c>
      <c r="AE19" s="158"/>
      <c r="AF19" s="158"/>
      <c r="AG19" s="158"/>
      <c r="AH19" s="158"/>
      <c r="AI19" s="159"/>
      <c r="AJ19" s="2"/>
      <c r="AK19" s="2"/>
    </row>
    <row r="20" spans="1:37" ht="15" thickBot="1" x14ac:dyDescent="0.35">
      <c r="A20" s="2"/>
      <c r="B20" s="2"/>
      <c r="C20" s="168"/>
      <c r="D20" s="180"/>
      <c r="E20" s="168"/>
      <c r="F20" s="163" t="s">
        <v>2</v>
      </c>
      <c r="G20" s="163"/>
      <c r="H20" s="164"/>
      <c r="I20" s="162" t="s">
        <v>3</v>
      </c>
      <c r="J20" s="163"/>
      <c r="K20" s="164"/>
      <c r="L20" s="162" t="s">
        <v>2</v>
      </c>
      <c r="M20" s="163"/>
      <c r="N20" s="164"/>
      <c r="O20" s="162" t="s">
        <v>3</v>
      </c>
      <c r="P20" s="163"/>
      <c r="Q20" s="164"/>
      <c r="R20" s="162" t="s">
        <v>2</v>
      </c>
      <c r="S20" s="163"/>
      <c r="T20" s="164"/>
      <c r="U20" s="162" t="s">
        <v>3</v>
      </c>
      <c r="V20" s="163"/>
      <c r="W20" s="164"/>
      <c r="X20" s="162" t="s">
        <v>2</v>
      </c>
      <c r="Y20" s="163"/>
      <c r="Z20" s="164"/>
      <c r="AA20" s="162" t="s">
        <v>3</v>
      </c>
      <c r="AB20" s="163"/>
      <c r="AC20" s="164"/>
      <c r="AD20" s="162" t="s">
        <v>2</v>
      </c>
      <c r="AE20" s="163"/>
      <c r="AF20" s="164"/>
      <c r="AG20" s="162" t="s">
        <v>3</v>
      </c>
      <c r="AH20" s="163"/>
      <c r="AI20" s="164"/>
      <c r="AJ20" s="2"/>
      <c r="AK20" s="2"/>
    </row>
    <row r="21" spans="1:37" ht="24" customHeight="1" thickBot="1" x14ac:dyDescent="0.35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2" t="s">
        <v>320</v>
      </c>
      <c r="D22" s="92" t="s">
        <v>1857</v>
      </c>
      <c r="E22" s="93" t="s">
        <v>1858</v>
      </c>
      <c r="F22" s="97"/>
      <c r="G22" s="97"/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31.8" thickBot="1" x14ac:dyDescent="0.35">
      <c r="A23" s="2"/>
      <c r="B23" s="2"/>
      <c r="C23" s="33" t="s">
        <v>319</v>
      </c>
      <c r="D23" s="33" t="s">
        <v>1859</v>
      </c>
      <c r="E23" s="93" t="str">
        <f>IF(ISERROR(VLOOKUP(D23,Sheet3!$A$2:$B$821,2,FALSE)),"",(VLOOKUP(D23,Sheet3!$A$2:$B$821,2,FALSE)))</f>
        <v>47-2073</v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" thickBot="1" x14ac:dyDescent="0.35">
      <c r="A38" s="2"/>
      <c r="B38" s="2"/>
      <c r="C38" s="189"/>
      <c r="D38" s="189"/>
      <c r="E38" s="189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60"/>
      <c r="T38" s="160"/>
      <c r="U38" s="161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" thickBot="1" x14ac:dyDescent="0.35">
      <c r="A39" s="2"/>
      <c r="B39" s="2"/>
      <c r="C39" s="128"/>
      <c r="D39" s="128"/>
      <c r="E39" s="68"/>
      <c r="F39" s="96">
        <f>SUM(F22:F37)</f>
        <v>0</v>
      </c>
      <c r="G39" s="96">
        <f>SUM(G22:G37)</f>
        <v>0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3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75"/>
      <c r="D42" s="17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51" t="s">
        <v>1829</v>
      </c>
      <c r="D43" s="152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53"/>
      <c r="D44" s="154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53"/>
      <c r="D45" s="154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53"/>
      <c r="D46" s="154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55"/>
      <c r="D47" s="156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X7:Z7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26</xdr:col>
                    <xdr:colOff>22860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C28" sqref="C28"/>
    </sheetView>
  </sheetViews>
  <sheetFormatPr defaultRowHeight="14.4" x14ac:dyDescent="0.3"/>
  <cols>
    <col min="1" max="1" width="15.5546875" bestFit="1" customWidth="1"/>
    <col min="2" max="2" width="19" bestFit="1" customWidth="1"/>
    <col min="3" max="3" width="24.33203125" bestFit="1" customWidth="1"/>
    <col min="4" max="6" width="16.44140625" bestFit="1" customWidth="1"/>
  </cols>
  <sheetData>
    <row r="1" spans="1:7" x14ac:dyDescent="0.3">
      <c r="A1" s="3"/>
      <c r="B1" s="3" t="s">
        <v>1830</v>
      </c>
      <c r="C1" s="3"/>
      <c r="D1" s="3"/>
      <c r="E1" s="3"/>
      <c r="F1" s="3"/>
      <c r="G1" s="3"/>
    </row>
    <row r="2" spans="1:7" s="3" customFormat="1" x14ac:dyDescent="0.3"/>
    <row r="3" spans="1:7" s="3" customFormat="1" x14ac:dyDescent="0.3">
      <c r="A3" s="3" t="s">
        <v>1855</v>
      </c>
      <c r="B3" s="3" t="s">
        <v>1856</v>
      </c>
      <c r="C3" s="3" t="s">
        <v>1856</v>
      </c>
      <c r="D3" s="3" t="s">
        <v>1856</v>
      </c>
      <c r="E3" s="3" t="s">
        <v>1856</v>
      </c>
      <c r="F3" s="3" t="s">
        <v>1856</v>
      </c>
    </row>
    <row r="4" spans="1:7" x14ac:dyDescent="0.3">
      <c r="A4" s="3" t="s">
        <v>1842</v>
      </c>
      <c r="B4" s="140"/>
      <c r="C4" s="140"/>
      <c r="D4" s="140"/>
      <c r="E4" s="3"/>
      <c r="F4" s="3"/>
      <c r="G4" s="3"/>
    </row>
    <row r="5" spans="1:7" x14ac:dyDescent="0.3">
      <c r="A5" s="3" t="s">
        <v>1843</v>
      </c>
      <c r="B5" s="141"/>
      <c r="C5" s="141"/>
      <c r="D5" s="141"/>
      <c r="E5" s="3"/>
      <c r="F5" s="3"/>
      <c r="G5" s="3"/>
    </row>
    <row r="6" spans="1:7" x14ac:dyDescent="0.3">
      <c r="A6" s="3" t="s">
        <v>1844</v>
      </c>
      <c r="B6" s="141"/>
      <c r="C6" s="141"/>
      <c r="D6" s="141"/>
      <c r="E6" s="3"/>
      <c r="F6" s="3"/>
      <c r="G6" s="3"/>
    </row>
    <row r="7" spans="1:7" x14ac:dyDescent="0.3">
      <c r="A7" s="3" t="s">
        <v>1845</v>
      </c>
      <c r="B7" s="141"/>
      <c r="C7" s="141"/>
      <c r="D7" s="141"/>
      <c r="E7" s="3"/>
      <c r="F7" s="3"/>
      <c r="G7" s="3"/>
    </row>
    <row r="8" spans="1:7" x14ac:dyDescent="0.3">
      <c r="A8" s="3"/>
      <c r="B8" s="141"/>
      <c r="C8" s="141"/>
      <c r="D8" s="141"/>
      <c r="E8" s="3"/>
      <c r="F8" s="3"/>
      <c r="G8" s="3"/>
    </row>
    <row r="9" spans="1:7" x14ac:dyDescent="0.3">
      <c r="A9" s="3" t="s">
        <v>1846</v>
      </c>
      <c r="B9" s="141"/>
      <c r="C9" s="141"/>
      <c r="D9" s="141"/>
      <c r="E9" s="3"/>
      <c r="F9" s="3"/>
      <c r="G9" s="3"/>
    </row>
    <row r="10" spans="1:7" x14ac:dyDescent="0.3">
      <c r="A10" s="3" t="s">
        <v>1847</v>
      </c>
      <c r="B10" s="141"/>
      <c r="C10" s="141"/>
      <c r="D10" s="141"/>
      <c r="E10" s="3"/>
      <c r="F10" s="141"/>
      <c r="G10" s="3"/>
    </row>
    <row r="11" spans="1:7" x14ac:dyDescent="0.3">
      <c r="A11" s="3" t="s">
        <v>1848</v>
      </c>
      <c r="B11" s="141"/>
      <c r="C11" s="141"/>
      <c r="D11" s="141"/>
      <c r="E11" s="3"/>
      <c r="F11" s="3"/>
      <c r="G11" s="3"/>
    </row>
    <row r="12" spans="1:7" x14ac:dyDescent="0.3">
      <c r="A12" s="8" t="s">
        <v>1849</v>
      </c>
      <c r="B12" s="142"/>
      <c r="C12" s="142"/>
      <c r="D12" s="142"/>
      <c r="E12" s="3"/>
      <c r="F12" s="3"/>
      <c r="G12" s="3"/>
    </row>
    <row r="13" spans="1:7" ht="15" thickBot="1" x14ac:dyDescent="0.35">
      <c r="A13" s="3"/>
      <c r="B13" s="141"/>
      <c r="C13" s="141"/>
      <c r="D13" s="141"/>
      <c r="E13" s="3"/>
      <c r="F13" s="3"/>
      <c r="G13" s="3"/>
    </row>
    <row r="14" spans="1:7" x14ac:dyDescent="0.3">
      <c r="A14" s="79" t="s">
        <v>1842</v>
      </c>
      <c r="B14" s="143">
        <f>SUM(B5:B7)</f>
        <v>0</v>
      </c>
      <c r="C14" s="143">
        <f t="shared" ref="C14:D14" si="0">SUM(C5:C7)</f>
        <v>0</v>
      </c>
      <c r="D14" s="143">
        <f t="shared" si="0"/>
        <v>0</v>
      </c>
      <c r="E14" s="144">
        <f>SUM(B14:D14)</f>
        <v>0</v>
      </c>
      <c r="F14" s="3"/>
      <c r="G14" s="3"/>
    </row>
    <row r="15" spans="1:7" x14ac:dyDescent="0.3">
      <c r="A15" s="80" t="s">
        <v>1850</v>
      </c>
      <c r="B15" s="145">
        <f>SUM(B10:B11)</f>
        <v>0</v>
      </c>
      <c r="C15" s="145">
        <f t="shared" ref="C15:D15" si="1">SUM(C10:C11)</f>
        <v>0</v>
      </c>
      <c r="D15" s="145">
        <f t="shared" si="1"/>
        <v>0</v>
      </c>
      <c r="E15" s="146">
        <f>SUM(B15:D15)</f>
        <v>0</v>
      </c>
      <c r="F15" s="3"/>
      <c r="G15" s="3"/>
    </row>
    <row r="16" spans="1:7" ht="15" thickBot="1" x14ac:dyDescent="0.35">
      <c r="A16" s="147" t="s">
        <v>1851</v>
      </c>
      <c r="B16" s="148">
        <f>SUM(B12)</f>
        <v>0</v>
      </c>
      <c r="C16" s="148">
        <f t="shared" ref="C16:D16" si="2">SUM(C12)</f>
        <v>0</v>
      </c>
      <c r="D16" s="148">
        <f t="shared" si="2"/>
        <v>0</v>
      </c>
      <c r="E16" s="149">
        <f>SUM(B16:D16)</f>
        <v>0</v>
      </c>
      <c r="F16" s="3"/>
      <c r="G16" s="3"/>
    </row>
    <row r="17" spans="1:7" x14ac:dyDescent="0.3">
      <c r="A17" s="79" t="s">
        <v>1852</v>
      </c>
      <c r="B17" s="143">
        <f>SUM(B14:B15)</f>
        <v>0</v>
      </c>
      <c r="C17" s="143">
        <f t="shared" ref="C17:D17" si="3">SUM(C14:C15)</f>
        <v>0</v>
      </c>
      <c r="D17" s="143">
        <f t="shared" si="3"/>
        <v>0</v>
      </c>
      <c r="E17" s="144">
        <f>SUM(B17:D17)</f>
        <v>0</v>
      </c>
      <c r="F17" s="3"/>
      <c r="G17" s="3"/>
    </row>
    <row r="18" spans="1:7" ht="15" thickBot="1" x14ac:dyDescent="0.35">
      <c r="A18" s="147" t="s">
        <v>1853</v>
      </c>
      <c r="B18" s="148">
        <f>SUM(B16)</f>
        <v>0</v>
      </c>
      <c r="C18" s="148">
        <f t="shared" ref="C18:D18" si="4">SUM(C16)</f>
        <v>0</v>
      </c>
      <c r="D18" s="148">
        <f t="shared" si="4"/>
        <v>0</v>
      </c>
      <c r="E18" s="149">
        <f>SUM(B18:D18)</f>
        <v>0</v>
      </c>
      <c r="F18" s="3"/>
      <c r="G18" s="3"/>
    </row>
    <row r="19" spans="1:7" x14ac:dyDescent="0.3">
      <c r="A19" s="2"/>
      <c r="B19" s="2"/>
      <c r="C19" s="2"/>
      <c r="D19" s="2"/>
      <c r="E19" s="2"/>
      <c r="F19" s="3"/>
      <c r="G19" s="3"/>
    </row>
    <row r="20" spans="1:7" x14ac:dyDescent="0.3">
      <c r="A20" s="3"/>
      <c r="B20" s="3"/>
      <c r="C20" s="150" t="s">
        <v>1854</v>
      </c>
      <c r="D20" s="141">
        <f>SUM(E17:E18)</f>
        <v>0</v>
      </c>
      <c r="E20" s="3"/>
      <c r="F20" s="3"/>
      <c r="G20" s="3"/>
    </row>
    <row r="21" spans="1:7" x14ac:dyDescent="0.3">
      <c r="A21" s="3"/>
      <c r="B21" s="3"/>
      <c r="C21" s="3"/>
      <c r="D21" s="3"/>
      <c r="E21" s="3"/>
      <c r="F21" s="3"/>
      <c r="G2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.6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30.6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20.399999999999999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20.399999999999999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EEO-101-Construction Workforce </vt:lpstr>
      <vt:lpstr>Sheet1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2017-12-08T15:57:11Z</cp:lastPrinted>
  <dcterms:created xsi:type="dcterms:W3CDTF">2016-01-07T15:16:02Z</dcterms:created>
  <dcterms:modified xsi:type="dcterms:W3CDTF">2018-05-10T14:21:46Z</dcterms:modified>
</cp:coreProperties>
</file>