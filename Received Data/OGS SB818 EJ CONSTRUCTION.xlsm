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/>
  <workbookPr codeName="ThisWorkbook"/>
  <mc:AlternateContent xmlns:mc="http://schemas.openxmlformats.org/markup-compatibility/2006">
    <mc:Choice Requires="x15">
      <x15ac:absPath xmlns:x15ac="http://schemas.microsoft.com/office/spreadsheetml/2010/11/ac" url="V:\MWBE\EEO-101 WORKFORCE UTILIZATION DATA COLLECTION\CONTRACTOR RESPONSES_ EEO DATA COLLECTION\Construction\Construction EEO 2018\01- January 2018\"/>
    </mc:Choice>
  </mc:AlternateContent>
  <bookViews>
    <workbookView xWindow="0" yWindow="0" windowWidth="28800" windowHeight="12795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<sst xmlns="http://schemas.openxmlformats.org/spreadsheetml/2006/main" count="2105" uniqueCount="1844">
  <si>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</si>
  <si>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</si>
  <si>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</si>
  <si>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</si>
  <si>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</si>
  <si>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</si>
  <si>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</si>
  <si>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</si>
  <si>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</si>
  <si>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</si>
  <si>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</si>
  <si>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</si>
  <si>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</si>
  <si>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</si>
  <si>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</si>
  <si>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</si>
  <si>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</si>
  <si>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</si>
  <si>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</si>
  <si>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</si>
  <si>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</si>
  <si>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</si>
  <si>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</si>
  <si>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</si>
  <si>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</si>
  <si>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</si>
  <si>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</si>
  <si>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</si>
  <si>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</si>
  <si>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</si>
  <si>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</si>
  <si>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</si>
  <si>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</si>
  <si>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</si>
  <si>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</si>
  <si>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</si>
  <si>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</si>
  <si>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</si>
  <si>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</si>
  <si>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</si>
  <si>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</si>
  <si>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</si>
  <si>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</si>
  <si>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</si>
  <si>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</si>
  <si>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</si>
  <si>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</si>
  <si>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</si>
  <si>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</si>
  <si>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</si>
  <si>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</si>
  <si>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</si>
  <si>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</si>
  <si>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</si>
  <si>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</si>
  <si>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</si>
  <si>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</si>
  <si>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</si>
  <si>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</si>
  <si>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</si>
  <si>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</si>
  <si>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</si>
  <si>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</si>
  <si>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</si>
  <si>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</si>
  <si>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</si>
  <si>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</si>
  <si>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</si>
  <si>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</si>
  <si>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</si>
  <si>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</si>
  <si>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</si>
  <si>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</si>
  <si>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</si>
  <si>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</si>
  <si>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</si>
  <si>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</si>
  <si>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</si>
  <si>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</si>
  <si>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</si>
  <si>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</si>
  <si>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</si>
  <si>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</si>
  <si>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</si>
  <si>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</si>
  <si>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</si>
  <si>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</si>
  <si>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</si>
  <si>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</si>
  <si>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</si>
  <si>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</si>
  <si>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</si>
  <si>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</si>
  <si>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</si>
  <si>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</si>
  <si>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</si>
  <si>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</si>
  <si>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</si>
  <si>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</si>
  <si>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</si>
  <si>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</si>
  <si>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</si>
  <si>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</si>
  <si>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</si>
  <si>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</si>
  <si>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</si>
  <si>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</si>
  <si>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</si>
  <si>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</si>
  <si>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</si>
  <si>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</si>
  <si>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</si>
  <si>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</si>
  <si>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</si>
  <si>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</si>
  <si>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</si>
  <si>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</si>
  <si>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</si>
  <si>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</si>
  <si>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</si>
  <si>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</si>
  <si>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</si>
  <si>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</si>
  <si>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</si>
  <si>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</si>
  <si>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</si>
  <si>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</si>
  <si>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</si>
  <si>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</si>
  <si>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</si>
  <si>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</si>
  <si>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</si>
  <si>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</si>
  <si>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</si>
  <si>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</si>
  <si>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</si>
  <si>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</si>
  <si>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</si>
  <si>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</si>
  <si>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</si>
  <si>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</si>
  <si>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</si>
  <si>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</si>
  <si>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</si>
  <si>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</si>
  <si>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</si>
  <si>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</si>
  <si>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</si>
  <si>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</si>
  <si>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</si>
  <si>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</si>
  <si>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</si>
  <si>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</si>
  <si>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</si>
  <si>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</si>
  <si>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</si>
  <si>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</si>
  <si>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</si>
  <si>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</si>
  <si>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</si>
  <si>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</si>
  <si>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</si>
  <si>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</si>
  <si>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</si>
  <si>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</si>
  <si>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</si>
  <si>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</si>
  <si>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</si>
  <si>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</si>
  <si>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</si>
  <si>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</si>
  <si>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</si>
  <si>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</si>
  <si>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</si>
  <si>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</si>
  <si>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</si>
  <si>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</si>
  <si>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</si>
  <si>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</si>
  <si>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</si>
  <si>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</si>
  <si>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</si>
  <si>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</si>
  <si>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</si>
  <si>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</si>
  <si>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</si>
  <si>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</si>
  <si>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</si>
  <si>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</si>
  <si>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</si>
  <si>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</si>
  <si>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</si>
  <si>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</si>
  <si>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</si>
  <si>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</si>
  <si>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</si>
  <si>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</si>
  <si>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</si>
  <si>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</si>
  <si>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</si>
  <si>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</si>
  <si>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</si>
  <si>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</si>
  <si>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</si>
  <si>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</si>
  <si>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</si>
  <si>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</si>
  <si>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</si>
  <si>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</si>
  <si>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</si>
  <si>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</si>
  <si>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</si>
  <si>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</si>
  <si>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</si>
  <si>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</si>
  <si>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</si>
  <si>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</si>
  <si>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</si>
  <si>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</si>
  <si>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</si>
  <si>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</si>
  <si>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</si>
  <si>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</si>
  <si>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</si>
  <si>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</si>
  <si>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</si>
  <si>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</si>
  <si>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</si>
  <si>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</si>
  <si>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</si>
  <si>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</si>
  <si>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</si>
  <si>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</si>
  <si>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</si>
  <si>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</si>
  <si>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</si>
  <si>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</si>
  <si>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</si>
  <si>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</si>
  <si>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</si>
  <si>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</si>
  <si>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</si>
  <si>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</si>
  <si>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</si>
  <si>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</si>
  <si>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</si>
  <si>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</si>
  <si>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</si>
  <si>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</si>
  <si>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</si>
  <si>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</si>
  <si>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</si>
  <si>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</si>
  <si>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</si>
  <si>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</si>
  <si>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</si>
  <si>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</si>
  <si>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</si>
  <si>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</si>
  <si>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</si>
  <si>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</si>
  <si>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</si>
  <si>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</si>
  <si>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</si>
  <si>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</si>
  <si>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</si>
  <si>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</si>
  <si>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</si>
  <si>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</si>
  <si>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</si>
  <si>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</si>
  <si>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</si>
  <si>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</si>
  <si>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</si>
  <si>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</si>
  <si>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</si>
  <si>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</si>
  <si>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</si>
  <si>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</si>
  <si>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</si>
  <si>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</si>
  <si>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</si>
  <si>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</si>
  <si>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</si>
  <si>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</si>
  <si>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</si>
  <si>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</si>
  <si>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</si>
  <si>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</si>
  <si>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</si>
  <si>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</si>
  <si>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</si>
  <si>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</si>
  <si>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</si>
  <si>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</si>
  <si>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</si>
  <si>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</si>
  <si>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</si>
  <si>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</si>
  <si>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</si>
  <si>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</si>
  <si>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</si>
  <si>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</si>
  <si>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</si>
  <si>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</si>
  <si>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</si>
  <si>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</si>
  <si>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</si>
  <si>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</si>
  <si>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</si>
  <si>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</si>
  <si>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</si>
  <si>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</si>
  <si>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</si>
  <si>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</si>
  <si>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</si>
  <si>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</si>
  <si>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</si>
  <si>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</si>
  <si>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</si>
  <si>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</si>
  <si>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</si>
  <si>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</si>
  <si>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</si>
  <si>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</si>
  <si>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</si>
  <si>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</si>
  <si>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</si>
  <si>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</si>
  <si>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</si>
  <si>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</si>
  <si>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</si>
  <si>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</si>
  <si>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</si>
  <si>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</si>
  <si>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</si>
  <si>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</si>
  <si>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</si>
  <si>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</si>
  <si>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</si>
  <si>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</si>
  <si>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</si>
  <si>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</si>
  <si>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</si>
  <si>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</si>
  <si>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</si>
  <si>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</si>
  <si>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</si>
  <si>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</si>
  <si>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</si>
  <si>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</si>
  <si>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</si>
  <si>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</si>
  <si>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</si>
  <si>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</si>
  <si>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</si>
  <si>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</si>
  <si>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</si>
  <si>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</si>
  <si>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</si>
  <si>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</si>
  <si>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</si>
  <si>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</si>
  <si>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</si>
  <si>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</si>
  <si>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</si>
  <si>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</si>
  <si>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</si>
  <si>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</si>
  <si>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</si>
  <si>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</si>
  <si>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</si>
  <si>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</si>
  <si>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</si>
  <si>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</si>
  <si>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</si>
  <si>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</si>
  <si>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</si>
  <si>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</si>
  <si>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</si>
  <si>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</si>
  <si>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</si>
  <si>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</si>
  <si>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</si>
  <si>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</si>
  <si>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</si>
  <si>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</si>
  <si>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</si>
  <si>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</si>
  <si>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</si>
  <si>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</si>
  <si>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</si>
  <si>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</si>
  <si>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</si>
  <si>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</si>
  <si>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</si>
  <si>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</si>
  <si>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</si>
  <si>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</si>
  <si>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</si>
  <si>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</si>
  <si>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</si>
  <si>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</si>
  <si>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</si>
  <si>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</si>
  <si>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</si>
  <si>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</si>
  <si>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</si>
  <si>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</si>
  <si>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</si>
  <si>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</si>
  <si>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</si>
  <si>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</si>
  <si>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</si>
  <si>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</si>
  <si>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</si>
  <si>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</si>
  <si>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</si>
  <si>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</si>
  <si>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</si>
  <si>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</si>
  <si>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</si>
  <si>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</si>
  <si>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</si>
  <si>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</si>
  <si>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</si>
  <si>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</si>
  <si>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</si>
  <si>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</si>
  <si>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</si>
  <si>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</si>
  <si>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</si>
  <si>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</si>
  <si>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</si>
  <si>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</si>
  <si>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</si>
  <si>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</si>
  <si>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</si>
  <si>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</si>
  <si>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</si>
  <si>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</si>
  <si>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</si>
  <si>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</si>
  <si>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</si>
  <si>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</si>
  <si>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</si>
  <si>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</si>
  <si>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</si>
  <si>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</si>
  <si>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</si>
  <si>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</si>
  <si>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</si>
  <si>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</si>
  <si>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</si>
  <si>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</si>
  <si>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</si>
  <si>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</si>
  <si>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</si>
  <si>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</si>
  <si>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</si>
  <si>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</si>
  <si>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</si>
  <si>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</si>
  <si>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</si>
  <si>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</si>
  <si>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</si>
  <si>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</si>
  <si>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</si>
  <si>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</si>
  <si>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</si>
  <si>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</si>
  <si>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</si>
  <si>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</si>
  <si>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</si>
  <si>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</si>
  <si>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</si>
  <si>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</si>
  <si>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</si>
  <si>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</si>
  <si>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</si>
  <si>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</si>
  <si>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</si>
  <si>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</si>
  <si>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</si>
  <si>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</si>
  <si>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</si>
  <si>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</si>
  <si>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</si>
  <si>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</si>
  <si>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</si>
  <si>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</si>
  <si>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</si>
  <si>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</si>
  <si>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</si>
  <si>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</si>
  <si>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</si>
  <si>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</si>
  <si>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</si>
  <si>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</si>
  <si>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</si>
  <si>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</si>
  <si>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</si>
  <si>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</si>
  <si>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</si>
  <si>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</si>
  <si>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</si>
  <si>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</si>
  <si>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</si>
  <si>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</si>
  <si>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</si>
  <si>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</si>
  <si>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</si>
  <si>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</si>
  <si>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</si>
  <si>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</si>
  <si>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</si>
  <si>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</si>
  <si>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</si>
  <si>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</si>
  <si>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</si>
  <si>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</si>
  <si>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</si>
  <si>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</si>
  <si>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</si>
  <si>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</si>
  <si>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</si>
  <si>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</si>
  <si>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</si>
  <si>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</si>
  <si>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</si>
  <si>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</si>
  <si>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</si>
  <si>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</si>
  <si>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</si>
  <si>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</si>
  <si>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</si>
  <si>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</si>
  <si>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</si>
  <si>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</si>
  <si>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</si>
  <si>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</si>
  <si>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</si>
  <si>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</si>
  <si>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</si>
  <si>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</si>
  <si>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</si>
  <si>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</si>
  <si>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</si>
  <si>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</si>
  <si>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</si>
  <si>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</si>
  <si>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</si>
  <si>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</si>
  <si>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</si>
  <si>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</si>
  <si>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</si>
  <si>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</si>
  <si>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</si>
  <si>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</si>
  <si>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</si>
  <si>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</si>
  <si>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</si>
  <si>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</si>
  <si>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</si>
  <si>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</si>
  <si>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</si>
  <si>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</si>
  <si>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</si>
  <si>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</si>
  <si>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</si>
  <si>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</si>
  <si>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</si>
  <si>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</si>
  <si>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</si>
  <si>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</si>
  <si>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</si>
  <si>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</si>
  <si>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</si>
  <si>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</si>
  <si>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</si>
  <si>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</si>
  <si>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</si>
  <si>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</si>
  <si>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</si>
  <si>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</si>
  <si>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</si>
  <si>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</si>
  <si>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</si>
  <si>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</si>
  <si>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</si>
  <si>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</si>
  <si>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</si>
  <si>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</si>
  <si>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</si>
  <si>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</si>
  <si>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</si>
  <si>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</si>
  <si>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</si>
  <si>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</si>
  <si>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</si>
  <si>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</si>
  <si>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</si>
  <si>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</si>
  <si>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</si>
  <si>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</si>
  <si>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</si>
  <si>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</si>
  <si>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</si>
  <si>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</si>
  <si>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</si>
  <si>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</si>
  <si>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</si>
  <si>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</si>
  <si>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</si>
  <si>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</si>
  <si>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</si>
  <si>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</si>
  <si>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</si>
  <si>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</si>
  <si>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</si>
  <si>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</si>
  <si>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</si>
  <si>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</si>
  <si>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</si>
  <si>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</si>
  <si>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</si>
  <si>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</si>
  <si>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</si>
  <si>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</si>
  <si>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</si>
  <si>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</si>
  <si>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</si>
  <si>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</si>
  <si>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</si>
  <si>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</si>
  <si>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</si>
  <si>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</si>
  <si>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</si>
  <si>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</si>
  <si>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</si>
  <si>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</si>
  <si>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</si>
  <si>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</si>
  <si>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</si>
  <si>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</si>
  <si>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</si>
  <si>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</si>
  <si>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</si>
  <si>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</si>
  <si>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</si>
  <si>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</si>
  <si>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</si>
  <si>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</si>
  <si>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</si>
  <si>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</si>
  <si>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</si>
  <si>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</si>
  <si>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</si>
  <si>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</si>
  <si>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</si>
  <si>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</si>
  <si>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</si>
  <si>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</si>
  <si>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</si>
  <si>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</si>
  <si>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</si>
  <si>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</si>
  <si>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</si>
  <si>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</si>
  <si>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</si>
  <si>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</si>
  <si>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</si>
  <si>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</si>
  <si>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</si>
  <si>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</si>
  <si>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</si>
  <si>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</si>
  <si>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</si>
  <si>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</si>
  <si>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</si>
  <si>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</si>
  <si>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</si>
  <si>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</si>
  <si>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</si>
  <si>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</si>
  <si>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</si>
  <si>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</si>
  <si>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</si>
  <si>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</si>
  <si>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</si>
  <si>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</si>
  <si>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</si>
  <si>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</si>
  <si>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</si>
  <si>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</si>
  <si>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</si>
  <si>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</si>
  <si>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</si>
  <si>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</si>
  <si>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</si>
  <si>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</si>
  <si>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</si>
  <si>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</si>
  <si>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</si>
  <si>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</si>
  <si>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</si>
  <si>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</si>
  <si>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</si>
  <si>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</si>
  <si>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</si>
  <si>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</si>
  <si>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</si>
  <si>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</si>
  <si>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</si>
  <si>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</si>
  <si>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</si>
  <si>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</si>
  <si>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</si>
  <si>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</si>
  <si>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</si>
  <si>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</si>
  <si>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</si>
  <si>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</si>
  <si>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</si>
  <si>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</si>
  <si>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</si>
  <si>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</si>
  <si>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</si>
  <si>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</si>
  <si>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</si>
  <si>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</si>
  <si>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</si>
  <si>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</si>
  <si>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</si>
  <si>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</si>
  <si>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</si>
  <si>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</si>
  <si>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</si>
  <si>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</si>
  <si>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</si>
  <si>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</si>
  <si>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</si>
  <si>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</si>
  <si>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</si>
  <si>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</si>
  <si>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</si>
  <si>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</si>
  <si>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</si>
  <si>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</si>
  <si>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</si>
  <si>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</si>
  <si>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</si>
  <si>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</si>
  <si>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</si>
  <si>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</si>
  <si>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</si>
  <si>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</si>
  <si>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</si>
  <si>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</si>
  <si>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</si>
  <si>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</si>
  <si>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</si>
  <si>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</si>
  <si>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</si>
  <si>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</si>
  <si>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</si>
  <si>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</si>
  <si>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</si>
  <si>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</si>
  <si>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</si>
  <si>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</si>
  <si>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</si>
  <si>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</si>
  <si>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</si>
  <si>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</si>
  <si>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</si>
  <si>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</si>
  <si>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</si>
  <si>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</si>
  <si>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</si>
  <si>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</si>
  <si>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</si>
  <si>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</si>
  <si>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</si>
  <si>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</si>
  <si>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</si>
  <si>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</si>
  <si>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</si>
  <si>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</si>
  <si>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</si>
  <si>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</si>
  <si>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</si>
  <si>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</si>
  <si>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</si>
  <si>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</si>
  <si>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</si>
  <si>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</si>
  <si>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</si>
  <si>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</si>
  <si>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</si>
  <si>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</si>
  <si>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</si>
  <si>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</si>
  <si>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</si>
  <si>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</si>
  <si>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</si>
  <si>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</si>
  <si>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</si>
  <si>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</si>
  <si>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</si>
  <si>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</si>
  <si>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</si>
  <si>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</si>
  <si>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</si>
  <si>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</si>
  <si>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</si>
  <si>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</si>
  <si>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</si>
  <si>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</si>
  <si>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</si>
  <si>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</si>
  <si>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</si>
  <si>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</si>
  <si>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</si>
  <si>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</si>
  <si>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</si>
  <si>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</si>
  <si>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</si>
  <si>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</si>
  <si>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</si>
  <si>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</si>
  <si>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</si>
  <si>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</si>
  <si>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</si>
  <si>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</si>
  <si>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</si>
  <si>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</si>
  <si>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</si>
  <si>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</si>
  <si>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</si>
  <si>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</si>
  <si>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</si>
  <si>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</si>
  <si>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</si>
  <si>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</si>
  <si>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</si>
  <si>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</si>
  <si>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</si>
  <si>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</si>
  <si>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</si>
  <si>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</si>
  <si>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</si>
  <si>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</si>
  <si>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</si>
  <si>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</si>
  <si>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</si>
  <si>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</si>
  <si>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</si>
  <si>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</si>
  <si>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</si>
  <si>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</si>
  <si>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</si>
  <si>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</si>
  <si>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</si>
  <si>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</si>
  <si>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</si>
  <si>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</si>
  <si>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</si>
  <si>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</si>
  <si>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</si>
  <si>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</si>
  <si>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</si>
  <si>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</si>
  <si>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</si>
  <si>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</si>
  <si>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</si>
  <si>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</si>
  <si>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</si>
  <si>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</si>
  <si>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</si>
  <si>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</si>
  <si>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</si>
  <si>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</si>
  <si>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</si>
  <si>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</si>
  <si>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</si>
  <si>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</si>
  <si>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</si>
  <si>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</si>
  <si>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</si>
  <si>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</si>
  <si>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</si>
  <si>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</si>
  <si>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</si>
  <si>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</si>
  <si>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</si>
  <si>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</si>
  <si>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</si>
  <si>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</si>
  <si>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</si>
  <si>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</si>
  <si>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</si>
  <si>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</si>
  <si>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</si>
  <si>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</si>
  <si>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</si>
  <si>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</si>
  <si>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</si>
  <si>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</si>
  <si>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</si>
  <si>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</si>
  <si>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</si>
  <si>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</si>
  <si>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</si>
  <si>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</si>
  <si>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</si>
  <si>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</si>
  <si>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</si>
  <si>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</si>
  <si>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</si>
  <si>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</si>
  <si>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</si>
  <si>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</si>
  <si>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</si>
  <si>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</si>
  <si>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</si>
  <si>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</si>
  <si>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</si>
  <si>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</si>
  <si>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</si>
  <si>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</si>
  <si>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</si>
  <si>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</si>
  <si>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</si>
  <si>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</si>
  <si>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</si>
  <si>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</si>
  <si>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</si>
  <si>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</si>
  <si>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</si>
  <si>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</si>
  <si>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</si>
  <si>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</si>
  <si>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</si>
  <si>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</si>
  <si>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</si>
  <si>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</si>
  <si>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</si>
  <si>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</si>
  <si>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</si>
  <si>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</si>
  <si>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</si>
  <si>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</si>
  <si>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</si>
  <si>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</si>
  <si>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</si>
  <si>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</si>
  <si>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</si>
  <si>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</si>
  <si>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</si>
  <si>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</si>
  <si>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</si>
  <si>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</si>
  <si>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</si>
  <si>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</si>
  <si>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</si>
  <si>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</si>
  <si>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</si>
  <si>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</si>
  <si>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</si>
  <si>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</si>
  <si>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</si>
  <si>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</si>
  <si>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</si>
  <si>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</si>
  <si>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</si>
  <si>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</si>
  <si>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</si>
  <si>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</si>
  <si>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</si>
  <si>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</si>
  <si>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</si>
  <si>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</si>
  <si>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</si>
  <si>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</si>
  <si>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</si>
  <si>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</si>
  <si>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</si>
  <si>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</si>
  <si>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</si>
  <si>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</si>
  <si>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</si>
  <si>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</si>
  <si>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</si>
  <si>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</si>
  <si>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</si>
  <si>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</si>
  <si>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</si>
  <si>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</si>
  <si>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</si>
  <si>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</si>
  <si>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</si>
  <si>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</si>
  <si>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</si>
  <si>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</si>
  <si>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</si>
  <si>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</si>
  <si>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</si>
  <si>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</si>
  <si>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</si>
  <si>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</si>
  <si>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</si>
  <si>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</si>
  <si>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</si>
  <si>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</si>
  <si>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</si>
  <si>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</si>
  <si>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</si>
  <si>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</si>
  <si>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</si>
  <si>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</si>
  <si>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</si>
  <si>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</si>
  <si>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</si>
  <si>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</si>
  <si>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</si>
  <si>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</si>
  <si>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</si>
  <si>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</si>
  <si>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</si>
  <si>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</si>
  <si>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</si>
  <si>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</si>
  <si>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</si>
  <si>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</si>
  <si>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</si>
  <si>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</si>
  <si>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</si>
  <si>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</si>
  <si>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</si>
  <si>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</si>
  <si>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</si>
  <si>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</si>
  <si>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</si>
  <si>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</si>
  <si>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</si>
  <si>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</si>
  <si>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</si>
  <si>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</si>
  <si>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</si>
  <si>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</si>
  <si>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</si>
  <si>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</si>
  <si>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</si>
  <si>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</si>
  <si>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</si>
  <si>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</si>
  <si>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</si>
  <si>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</si>
  <si>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</si>
  <si>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</si>
  <si>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</si>
  <si>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</si>
  <si>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</si>
  <si>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</si>
  <si>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</si>
  <si>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</si>
  <si>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</si>
  <si>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</si>
  <si>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</si>
  <si>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</si>
  <si>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</si>
  <si>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</si>
  <si>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</si>
  <si>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</si>
  <si>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</si>
  <si>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</si>
  <si>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</si>
  <si>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</si>
  <si>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</si>
  <si>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</si>
  <si>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</si>
  <si>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</si>
  <si>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</si>
  <si>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</si>
  <si>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</si>
  <si>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</si>
  <si>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</si>
  <si>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</si>
  <si>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</si>
  <si>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</si>
  <si>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</si>
  <si>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</si>
  <si>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</si>
  <si>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</si>
  <si>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</si>
  <si>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</si>
  <si>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</si>
  <si>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</si>
  <si>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</si>
  <si>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</si>
  <si>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</si>
  <si>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</si>
  <si>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</si>
  <si>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</si>
  <si>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</si>
  <si>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</si>
  <si>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</si>
  <si>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</si>
  <si>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</si>
  <si>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</si>
  <si>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</si>
  <si>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</si>
  <si>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</si>
  <si>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</si>
  <si>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</si>
  <si>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</si>
  <si>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</si>
  <si>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</si>
  <si>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</si>
  <si>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</si>
  <si>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</si>
  <si>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</si>
  <si>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</si>
  <si>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</si>
  <si>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</si>
  <si>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</si>
  <si>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</si>
  <si>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</si>
  <si>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</si>
  <si>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</si>
  <si>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</si>
  <si>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</si>
  <si>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</si>
  <si>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</si>
  <si>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</si>
  <si>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</si>
  <si>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</si>
  <si>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</si>
  <si>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</si>
  <si>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</si>
  <si>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</si>
  <si>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</si>
  <si>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</si>
  <si>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</si>
  <si>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</si>
  <si>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</si>
  <si>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</si>
  <si>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</si>
  <si>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</si>
  <si>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</si>
  <si>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</si>
  <si>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</si>
  <si>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</si>
  <si>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</si>
  <si>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</si>
  <si>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</si>
  <si>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</si>
  <si>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</si>
  <si>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</si>
  <si>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</si>
  <si>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</si>
  <si>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</si>
  <si>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</si>
  <si>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</si>
  <si>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</si>
  <si>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</si>
  <si>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</si>
  <si>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</si>
  <si>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</si>
  <si>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</si>
  <si>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</si>
  <si>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</si>
  <si>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</si>
  <si>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</si>
  <si>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</si>
  <si>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</si>
  <si>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</si>
  <si>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</si>
  <si>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</si>
  <si>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</si>
  <si>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</si>
  <si>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</si>
  <si>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</si>
  <si>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</si>
  <si>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</si>
  <si>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</si>
  <si>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</si>
  <si>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</si>
  <si>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</si>
  <si>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</si>
  <si>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</si>
  <si>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</si>
  <si>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</si>
  <si>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</si>
  <si>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</si>
  <si>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</si>
  <si>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</si>
  <si>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</si>
  <si>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</si>
  <si>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</si>
  <si>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</si>
  <si>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</si>
  <si>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</si>
  <si>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</si>
  <si>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</si>
  <si>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</si>
  <si>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</si>
  <si>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</si>
  <si>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</si>
  <si>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</si>
  <si>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</si>
  <si>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</si>
  <si>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</si>
  <si>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</si>
  <si>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</si>
  <si>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</si>
  <si>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</si>
  <si>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</si>
  <si>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</si>
  <si>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</si>
  <si>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</si>
  <si>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</si>
  <si>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</si>
  <si>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</si>
  <si>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</si>
  <si>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</si>
  <si>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</si>
  <si>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</si>
  <si>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</si>
  <si>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</si>
  <si>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</si>
  <si>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</si>
  <si>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</si>
  <si>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</si>
  <si>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</si>
  <si>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</si>
  <si>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</si>
  <si>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</si>
  <si>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</si>
  <si>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</si>
  <si>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</si>
  <si>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</si>
  <si>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</si>
  <si>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</si>
  <si>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</si>
  <si>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</si>
  <si>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</si>
  <si>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</si>
  <si>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</si>
  <si>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</si>
  <si>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</si>
  <si>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</si>
  <si>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</si>
  <si>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</si>
  <si>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</si>
  <si>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</si>
  <si>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</si>
  <si>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</si>
  <si>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</si>
  <si>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</si>
  <si>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</si>
  <si>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</si>
  <si>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</si>
  <si>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</si>
  <si>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</si>
  <si>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</si>
  <si>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</si>
  <si>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</si>
  <si>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</si>
  <si>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</si>
  <si>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</si>
  <si>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</si>
  <si>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</si>
  <si>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</si>
  <si>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</si>
  <si>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</si>
  <si>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</si>
  <si>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</si>
  <si>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</si>
  <si>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</si>
  <si>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</si>
  <si>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</si>
  <si>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</si>
  <si>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</si>
  <si>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</si>
  <si>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</si>
  <si>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</si>
  <si>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</si>
  <si>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</si>
  <si>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</si>
  <si>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</si>
  <si>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</si>
  <si>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</si>
  <si>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</si>
  <si>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</si>
  <si>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</si>
  <si>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</si>
  <si>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</si>
  <si>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</si>
  <si>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</si>
  <si>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</si>
  <si>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</si>
  <si>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</si>
  <si>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</si>
  <si>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</si>
  <si>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</si>
  <si>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</si>
  <si>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</si>
  <si>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</si>
  <si>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</si>
  <si>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</si>
  <si>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</si>
  <si>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</si>
  <si>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</si>
  <si>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</si>
  <si>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</si>
  <si>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</si>
  <si>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</si>
  <si>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</si>
  <si>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</si>
  <si>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</si>
  <si>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</si>
  <si>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</si>
  <si>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</si>
  <si>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</si>
  <si>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</si>
  <si>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</si>
  <si>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</si>
  <si>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</si>
  <si>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</si>
  <si>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</si>
  <si>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</si>
  <si>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</si>
  <si>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</si>
  <si>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</si>
  <si>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</si>
  <si>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</si>
  <si>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</si>
  <si>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</si>
  <si>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</si>
  <si>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</si>
  <si>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</si>
  <si>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</si>
  <si>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</si>
  <si>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</si>
  <si>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</si>
  <si>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</si>
  <si>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</si>
  <si>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</si>
  <si>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</si>
  <si>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</si>
  <si>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</si>
  <si>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</si>
  <si>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</si>
  <si>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</si>
  <si>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</si>
  <si>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</si>
  <si>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</si>
  <si>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</si>
  <si>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</si>
  <si>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</si>
  <si>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</si>
  <si>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</si>
  <si>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</si>
  <si>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</si>
  <si>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</si>
  <si>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</si>
  <si>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</si>
  <si>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</si>
  <si>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</si>
  <si>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</si>
  <si>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</si>
  <si>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</si>
  <si>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</si>
  <si>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</si>
  <si>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</si>
  <si>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</si>
  <si>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</si>
  <si>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</si>
  <si>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</si>
  <si>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</si>
  <si>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</si>
  <si>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</si>
  <si>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</si>
  <si>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</si>
  <si>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</si>
  <si>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</si>
  <si>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</si>
  <si>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</si>
  <si>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</si>
  <si>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</si>
  <si>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</si>
  <si>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</si>
  <si>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</si>
  <si>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</si>
  <si>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</si>
  <si>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</si>
  <si>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</si>
  <si>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</si>
  <si>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</si>
  <si>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</si>
  <si>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</si>
  <si>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</si>
  <si>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</si>
  <si>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</si>
  <si>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</si>
  <si>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</si>
  <si>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</si>
  <si>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</si>
  <si>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</si>
  <si>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</si>
  <si>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</si>
  <si>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</si>
  <si>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</si>
  <si>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</si>
  <si>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</si>
  <si>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</si>
  <si>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</si>
  <si>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</si>
  <si>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</si>
  <si>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</si>
  <si>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</si>
  <si>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</si>
  <si>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</si>
  <si>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</si>
  <si>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</si>
  <si>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</si>
  <si>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</si>
  <si>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</si>
  <si>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</si>
  <si>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</si>
  <si>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</si>
  <si>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</si>
  <si>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</si>
  <si>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</si>
  <si>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</si>
  <si>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</si>
  <si>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</si>
  <si>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</si>
  <si>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</si>
  <si>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</si>
  <si>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</si>
  <si>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</si>
  <si>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</si>
  <si>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</si>
  <si>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</si>
  <si>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</si>
  <si>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</si>
  <si>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</si>
  <si>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</si>
  <si>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</si>
  <si>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</si>
  <si>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</si>
  <si>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</si>
  <si>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</si>
  <si>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</si>
  <si>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</si>
  <si>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</si>
  <si>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</si>
  <si>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</si>
  <si>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</si>
  <si>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</si>
  <si>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</si>
  <si>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</si>
  <si>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</si>
  <si>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</si>
  <si>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</si>
  <si>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</si>
  <si>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</si>
  <si>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</si>
  <si>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</si>
  <si>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</si>
  <si>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</si>
  <si>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</si>
  <si>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</si>
  <si>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</si>
  <si>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</si>
  <si>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</si>
  <si>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</si>
  <si>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</si>
  <si>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</si>
  <si>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</si>
  <si>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</si>
  <si>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</si>
  <si>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</si>
  <si>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</si>
  <si>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</si>
  <si>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</si>
  <si>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</si>
  <si>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</si>
  <si>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</si>
  <si>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</si>
  <si>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</si>
  <si>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</si>
  <si>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</si>
  <si>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</si>
  <si>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</si>
  <si>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</si>
  <si>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</si>
  <si>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</si>
  <si>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</si>
  <si>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</si>
  <si>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</si>
  <si>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</si>
  <si>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</si>
  <si>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</si>
  <si>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</si>
  <si>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</si>
  <si>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</si>
  <si>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</si>
  <si>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</si>
  <si>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</si>
  <si>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</si>
  <si>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</si>
  <si>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</si>
  <si>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</si>
  <si>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</si>
  <si>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</si>
  <si>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</si>
  <si>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</si>
  <si>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</si>
  <si>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</si>
  <si>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</si>
  <si>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</si>
  <si>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</si>
  <si>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</si>
  <si>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</si>
  <si>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</si>
  <si>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</si>
  <si>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</si>
  <si>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</si>
  <si>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</si>
  <si>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</si>
  <si>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</si>
  <si>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</si>
  <si>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</si>
  <si>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</si>
  <si>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</si>
  <si>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</si>
  <si>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</si>
  <si>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</si>
  <si>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</si>
  <si>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</si>
  <si>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</si>
  <si>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</si>
  <si>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</si>
  <si>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</si>
  <si>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</si>
  <si>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</si>
  <si>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</si>
  <si>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</si>
  <si>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</si>
  <si>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</si>
  <si>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</si>
  <si>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</si>
  <si>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</si>
  <si>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</si>
  <si>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</si>
  <si>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</si>
  <si>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</si>
  <si>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</si>
  <si>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</si>
  <si>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</si>
  <si>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</si>
  <si>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</si>
  <si>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</si>
  <si>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</si>
  <si>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</si>
  <si>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</si>
  <si>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</si>
  <si>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</si>
  <si>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</si>
  <si>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</si>
  <si>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</si>
  <si>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</si>
  <si>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</si>
  <si>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</si>
  <si>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</si>
  <si>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</si>
  <si>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</si>
  <si>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</si>
  <si>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</si>
  <si>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</si>
  <si>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</si>
  <si>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</si>
  <si>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</si>
  <si>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</si>
  <si>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</si>
  <si>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</si>
  <si>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</si>
  <si>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</si>
  <si>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</si>
  <si>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</si>
  <si>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</si>
  <si>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</si>
  <si>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</si>
  <si>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</si>
  <si>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</si>
  <si>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</si>
  <si>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</si>
  <si>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</si>
  <si>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</si>
  <si>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</si>
  <si>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</si>
  <si>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</si>
  <si>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</si>
  <si>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</si>
  <si>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</si>
  <si>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</si>
  <si>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</si>
  <si>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</si>
  <si>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</si>
  <si>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</si>
  <si>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</si>
  <si>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</si>
  <si>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</si>
  <si>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</si>
  <si>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</si>
  <si>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</si>
  <si>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</si>
  <si>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</si>
  <si>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</si>
  <si>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</si>
  <si>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</si>
  <si>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</si>
  <si>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</si>
  <si>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</si>
  <si>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</si>
  <si>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</si>
  <si>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</si>
  <si>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</si>
  <si>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</si>
  <si>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</si>
  <si>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</si>
  <si>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</si>
  <si>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</si>
  <si>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</si>
  <si>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</si>
  <si>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</si>
  <si>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</si>
  <si>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</si>
  <si>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</si>
  <si>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</si>
  <si>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</si>
  <si>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</si>
  <si>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</si>
  <si>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</si>
  <si>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</si>
  <si>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</si>
  <si>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</si>
  <si>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</si>
  <si>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</si>
  <si>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</si>
  <si>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</si>
  <si>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</si>
  <si>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</si>
  <si>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</si>
  <si>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</si>
  <si>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</si>
  <si>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</si>
  <si>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</si>
  <si>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</si>
  <si>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</si>
  <si>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</si>
  <si>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</si>
  <si>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</si>
  <si>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</si>
  <si>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</si>
  <si>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</si>
  <si>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</si>
  <si>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</si>
  <si>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</si>
  <si>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</si>
  <si>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</si>
  <si>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</si>
  <si>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</si>
  <si>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</si>
  <si>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</si>
  <si>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</si>
  <si>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</si>
  <si>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</si>
  <si>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</si>
  <si>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</si>
  <si>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</si>
  <si>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</si>
  <si>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</si>
  <si>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</si>
  <si>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</si>
  <si>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</si>
  <si>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</si>
  <si>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</si>
  <si>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</si>
  <si>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</si>
  <si>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</si>
  <si>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</si>
  <si>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</si>
  <si>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</si>
  <si>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</si>
  <si>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</si>
  <si>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</si>
  <si>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</si>
  <si>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</si>
  <si>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</si>
  <si>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</si>
  <si>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</si>
  <si>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</si>
  <si>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</si>
  <si>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</si>
  <si>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</si>
  <si>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</si>
  <si>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</si>
  <si>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</si>
  <si>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</si>
  <si>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</si>
  <si>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</si>
  <si>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</si>
  <si>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</si>
  <si>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</si>
  <si>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</si>
  <si>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</si>
  <si>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</si>
  <si>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</si>
  <si>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</si>
  <si>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</si>
  <si>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</si>
  <si>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</si>
  <si>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</si>
  <si>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</si>
  <si>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</si>
  <si>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</si>
  <si>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</si>
  <si>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</si>
  <si>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</si>
  <si>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</si>
  <si>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</si>
  <si>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</si>
  <si>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</si>
  <si>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</si>
  <si>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</si>
  <si>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</si>
  <si>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</si>
  <si>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</si>
  <si>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</si>
  <si>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</si>
  <si>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</si>
  <si>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</si>
  <si>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</si>
  <si>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</si>
  <si>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</si>
  <si>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</si>
  <si>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</si>
  <si>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</si>
  <si>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</si>
  <si>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</si>
  <si>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</si>
  <si>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</si>
  <si>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</si>
  <si>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</si>
  <si>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</si>
  <si>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</si>
  <si>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</si>
  <si>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</si>
  <si>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</si>
  <si>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</si>
  <si>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</si>
  <si>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</si>
  <si>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</si>
  <si>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</si>
  <si>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</si>
  <si>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</si>
  <si>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</si>
  <si>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</si>
  <si>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</si>
  <si>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</si>
  <si>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</si>
  <si>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</si>
  <si>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</si>
  <si>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</si>
  <si>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</si>
  <si>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</si>
  <si>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</si>
  <si>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</si>
  <si>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</si>
  <si>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</si>
  <si>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</si>
  <si>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</si>
  <si>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</si>
  <si>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</si>
  <si>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</si>
  <si>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</si>
  <si>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</si>
  <si>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</si>
  <si>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</si>
  <si>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</si>
  <si>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</si>
  <si>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</si>
  <si>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</si>
  <si>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</si>
  <si>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</si>
  <si>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</si>
  <si>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</si>
  <si>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</si>
  <si>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</si>
  <si>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</si>
  <si>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</si>
  <si>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</si>
  <si>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</si>
  <si>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</si>
  <si>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</si>
  <si>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</si>
  <si>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</si>
  <si>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</si>
  <si>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</si>
  <si>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</si>
  <si>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</si>
  <si>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</si>
  <si>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</si>
  <si>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</si>
  <si>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</si>
  <si>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</si>
  <si>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</si>
  <si>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</si>
  <si>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</si>
  <si>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</si>
  <si>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</si>
  <si>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</si>
  <si>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</si>
  <si>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</si>
  <si>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</si>
  <si>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</si>
  <si>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</si>
  <si>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</si>
  <si>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</si>
  <si>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</si>
  <si>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</si>
  <si>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EJ Construction Group Inc.</t>
  </si>
  <si>
    <t>4522 Wetzel Road</t>
  </si>
  <si>
    <t>Liverpool</t>
  </si>
  <si>
    <t>J. C. Keyes</t>
  </si>
  <si>
    <t>Corporate Secretary</t>
  </si>
  <si>
    <t>February 1, 2018</t>
  </si>
  <si>
    <t>Reinforcing Iron and Rebar Workers</t>
  </si>
  <si>
    <t>47-2171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</si>
</sst>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5" fontId="11" fillId="4" borderId="25" xfId="0" quotePrefix="1" applyNumberFormat="1" applyFont="1" applyFill="1" applyBorder="1" applyAlignment="1" applyProtection="1">
      <protection locked="0"/>
    </xf>
    <xf numFmtId="0" fontId="11" fillId="0" borderId="0" xfId="0" applyFont="1" applyBorder="1" applyAlignment="1">
      <alignment horizontal="center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171450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9</xdr:row>
          <xdr:rowOff>0</xdr:rowOff>
        </xdr:from>
        <xdr:to>
          <xdr:col>25</xdr:col>
          <xdr:colOff>571500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11</xdr:row>
          <xdr:rowOff>152400</xdr:rowOff>
        </xdr:from>
        <xdr:to>
          <xdr:col>26</xdr:col>
          <xdr:colOff>200025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zoomScale="75" zoomScaleNormal="75" zoomScalePageLayoutView="96" workbookViewId="0">
      <selection activeCell="AF10" sqref="AF10"/>
    </sheetView>
  </sheetViews>
  <sheetFormatPr defaultColWidth="8.7109375" defaultRowHeight="15" x14ac:dyDescent="0.25"/>
  <cols>
    <col min="1" max="2" width="8.7109375" style="3"/>
    <col min="3" max="3" width="28" customWidth="1"/>
    <col min="4" max="4" width="49.7109375" customWidth="1"/>
    <col min="5" max="5" width="18.28515625" customWidth="1"/>
    <col min="7" max="7" width="8.7109375" style="3"/>
    <col min="8" max="8" width="9.140625" customWidth="1"/>
    <col min="10" max="10" width="8.7109375" style="3"/>
    <col min="14" max="14" width="8.7109375" style="3"/>
    <col min="17" max="17" width="8.7109375" style="3"/>
    <col min="20" max="20" width="8.7109375" style="3"/>
    <col min="23" max="23" width="8.7109375" style="3"/>
    <col min="24" max="24" width="9.140625" bestFit="1" customWidth="1"/>
    <col min="26" max="26" width="8.7109375" style="3"/>
    <col min="29" max="29" width="8.7109375" style="3"/>
    <col min="32" max="32" width="8.7109375" style="3"/>
    <col min="34" max="34" width="8.7109375" style="3"/>
  </cols>
  <sheetData>
    <row r="1" spans="1:37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72" t="s">
        <v>322</v>
      </c>
      <c r="D2" s="172"/>
      <c r="E2" s="172"/>
      <c r="F2" s="172"/>
      <c r="G2" s="172"/>
      <c r="H2" s="172"/>
      <c r="I2" s="172"/>
      <c r="J2" s="172"/>
      <c r="K2" s="172"/>
      <c r="L2" s="172"/>
      <c r="M2" s="172"/>
      <c r="N2" s="172"/>
      <c r="O2" s="172"/>
      <c r="P2" s="172"/>
      <c r="Q2" s="172"/>
      <c r="R2" s="172"/>
      <c r="S2" s="172"/>
      <c r="T2" s="172"/>
      <c r="U2" s="172"/>
      <c r="V2" s="172"/>
      <c r="W2" s="172"/>
      <c r="X2" s="172"/>
      <c r="Y2" s="172"/>
      <c r="Z2" s="172"/>
      <c r="AA2" s="172"/>
      <c r="AB2" s="172"/>
      <c r="AC2" s="172"/>
      <c r="AD2" s="172"/>
      <c r="AE2" s="172"/>
      <c r="AF2" s="172"/>
      <c r="AG2" s="172"/>
      <c r="AH2" s="172"/>
      <c r="AI2" s="172"/>
      <c r="AJ2" s="83"/>
      <c r="AK2" s="83"/>
    </row>
    <row r="3" spans="1:37" s="28" customFormat="1" ht="17.649999999999999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25">
      <c r="A5" s="2"/>
      <c r="B5" s="2"/>
      <c r="C5" s="37"/>
      <c r="D5" s="128" t="s">
        <v>0</v>
      </c>
      <c r="E5" s="133"/>
      <c r="F5" s="133"/>
      <c r="G5" s="129"/>
      <c r="H5" s="129"/>
      <c r="I5" s="171" t="s">
        <v>321</v>
      </c>
      <c r="J5" s="171"/>
      <c r="K5" s="171"/>
      <c r="L5" s="171"/>
      <c r="M5" s="171"/>
      <c r="N5" s="171"/>
      <c r="O5" s="171"/>
      <c r="P5" s="171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85"/>
      <c r="F6" s="183"/>
      <c r="G6" s="131"/>
      <c r="H6" s="40"/>
      <c r="I6" s="183"/>
      <c r="J6" s="183"/>
      <c r="K6" s="183"/>
      <c r="L6" s="183"/>
      <c r="M6" s="183"/>
      <c r="N6" s="183"/>
      <c r="O6" s="183"/>
      <c r="P6" s="183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137">
        <v>4017117</v>
      </c>
      <c r="AH6" s="137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82"/>
      <c r="N7" s="182"/>
      <c r="O7" s="182"/>
      <c r="P7" s="182"/>
      <c r="Q7" s="131"/>
      <c r="R7" s="71"/>
      <c r="S7" s="43" t="s">
        <v>6</v>
      </c>
      <c r="T7" s="115"/>
      <c r="U7" s="70"/>
      <c r="V7" s="2"/>
      <c r="W7" s="2"/>
      <c r="X7" s="173" t="s">
        <v>1839</v>
      </c>
      <c r="Y7" s="177"/>
      <c r="Z7" s="177"/>
      <c r="AA7" s="177"/>
      <c r="AB7" s="177"/>
      <c r="AC7" s="177"/>
      <c r="AD7" s="177"/>
      <c r="AE7" s="178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52" t="s">
        <v>1836</v>
      </c>
      <c r="E8" s="152"/>
      <c r="F8" s="152"/>
      <c r="G8" s="70"/>
      <c r="H8" s="41"/>
      <c r="I8" s="164"/>
      <c r="J8" s="184"/>
      <c r="K8" s="165"/>
      <c r="L8" s="164"/>
      <c r="M8" s="165"/>
      <c r="N8" s="130"/>
      <c r="O8" s="164"/>
      <c r="P8" s="165"/>
      <c r="Q8" s="131"/>
      <c r="R8" s="38"/>
      <c r="S8" s="43" t="s">
        <v>7</v>
      </c>
      <c r="T8" s="115"/>
      <c r="U8" s="53"/>
      <c r="V8" s="2"/>
      <c r="W8" s="2"/>
      <c r="X8" s="179" t="s">
        <v>1840</v>
      </c>
      <c r="Y8" s="180"/>
      <c r="Z8" s="180"/>
      <c r="AA8" s="180"/>
      <c r="AB8" s="180"/>
      <c r="AC8" s="180"/>
      <c r="AD8" s="180"/>
      <c r="AE8" s="181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52" t="s">
        <v>1837</v>
      </c>
      <c r="E9" s="152"/>
      <c r="F9" s="152"/>
      <c r="G9" s="70"/>
      <c r="H9" s="41"/>
      <c r="I9" s="164"/>
      <c r="J9" s="184"/>
      <c r="K9" s="165"/>
      <c r="L9" s="164"/>
      <c r="M9" s="165"/>
      <c r="N9" s="130"/>
      <c r="O9" s="164"/>
      <c r="P9" s="165"/>
      <c r="Q9" s="131"/>
      <c r="R9" s="38"/>
      <c r="S9" s="43" t="s">
        <v>8</v>
      </c>
      <c r="T9" s="115"/>
      <c r="U9" s="70"/>
      <c r="V9" s="2"/>
      <c r="W9" s="2"/>
      <c r="X9" s="136" t="s">
        <v>1841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 t="s">
        <v>1838</v>
      </c>
      <c r="E10" s="32" t="s">
        <v>451</v>
      </c>
      <c r="F10" s="32">
        <v>13090</v>
      </c>
      <c r="G10" s="70"/>
      <c r="H10" s="41"/>
      <c r="I10" s="153"/>
      <c r="J10" s="153"/>
      <c r="K10" s="153"/>
      <c r="L10" s="153"/>
      <c r="M10" s="153"/>
      <c r="N10" s="126"/>
      <c r="O10" s="153"/>
      <c r="P10" s="153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68"/>
      <c r="E11" s="169"/>
      <c r="F11" s="170"/>
      <c r="G11" s="53"/>
      <c r="H11" s="41"/>
      <c r="I11" s="153"/>
      <c r="J11" s="153"/>
      <c r="K11" s="153"/>
      <c r="L11" s="153"/>
      <c r="M11" s="153"/>
      <c r="N11" s="126"/>
      <c r="O11" s="153"/>
      <c r="P11" s="153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73"/>
      <c r="E13" s="174"/>
      <c r="F13" s="175"/>
      <c r="G13" s="114"/>
      <c r="H13" s="41"/>
      <c r="I13" s="163" t="s">
        <v>5</v>
      </c>
      <c r="J13" s="163"/>
      <c r="K13" s="163"/>
      <c r="L13" s="163"/>
      <c r="M13" s="163"/>
      <c r="N13" s="163"/>
      <c r="O13" s="163"/>
      <c r="P13" s="163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52" t="s">
        <v>1835</v>
      </c>
      <c r="E14" s="152"/>
      <c r="F14" s="152"/>
      <c r="G14" s="70"/>
      <c r="H14" s="41"/>
      <c r="I14" s="153"/>
      <c r="J14" s="153"/>
      <c r="K14" s="153"/>
      <c r="L14" s="153"/>
      <c r="M14" s="153"/>
      <c r="N14" s="153"/>
      <c r="O14" s="153"/>
      <c r="P14" s="153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25">
      <c r="A15" s="2"/>
      <c r="B15" s="2"/>
      <c r="C15" s="37"/>
      <c r="D15" s="41"/>
      <c r="E15" s="41"/>
      <c r="F15" s="41"/>
      <c r="G15" s="41"/>
      <c r="H15" s="41"/>
      <c r="I15" s="153"/>
      <c r="J15" s="153"/>
      <c r="K15" s="153"/>
      <c r="L15" s="153"/>
      <c r="M15" s="153"/>
      <c r="N15" s="153"/>
      <c r="O15" s="153"/>
      <c r="P15" s="153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.75" thickBot="1" x14ac:dyDescent="0.3">
      <c r="A18" s="2"/>
      <c r="B18" s="2"/>
      <c r="C18" s="154" t="s">
        <v>11</v>
      </c>
      <c r="D18" s="166" t="s">
        <v>9</v>
      </c>
      <c r="E18" s="154" t="s">
        <v>10</v>
      </c>
      <c r="F18" s="158" t="s">
        <v>1825</v>
      </c>
      <c r="G18" s="159"/>
      <c r="H18" s="159"/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59"/>
      <c r="AH18" s="159"/>
      <c r="AI18" s="160"/>
      <c r="AJ18" s="2"/>
      <c r="AK18" s="2"/>
    </row>
    <row r="19" spans="1:37" ht="46.5" customHeight="1" thickBot="1" x14ac:dyDescent="0.3">
      <c r="A19" s="2"/>
      <c r="B19" s="2"/>
      <c r="C19" s="155"/>
      <c r="D19" s="167"/>
      <c r="E19" s="155"/>
      <c r="F19" s="156" t="s">
        <v>1</v>
      </c>
      <c r="G19" s="156"/>
      <c r="H19" s="156"/>
      <c r="I19" s="156"/>
      <c r="J19" s="156"/>
      <c r="K19" s="157"/>
      <c r="L19" s="161" t="s">
        <v>13</v>
      </c>
      <c r="M19" s="156"/>
      <c r="N19" s="156"/>
      <c r="O19" s="156"/>
      <c r="P19" s="156"/>
      <c r="Q19" s="157"/>
      <c r="R19" s="161" t="s">
        <v>12</v>
      </c>
      <c r="S19" s="156"/>
      <c r="T19" s="156"/>
      <c r="U19" s="156"/>
      <c r="V19" s="156"/>
      <c r="W19" s="157"/>
      <c r="X19" s="186" t="s">
        <v>1826</v>
      </c>
      <c r="Y19" s="187"/>
      <c r="Z19" s="187"/>
      <c r="AA19" s="187"/>
      <c r="AB19" s="187"/>
      <c r="AC19" s="188"/>
      <c r="AD19" s="144" t="s">
        <v>14</v>
      </c>
      <c r="AE19" s="145"/>
      <c r="AF19" s="145"/>
      <c r="AG19" s="145"/>
      <c r="AH19" s="145"/>
      <c r="AI19" s="146"/>
      <c r="AJ19" s="2"/>
      <c r="AK19" s="2"/>
    </row>
    <row r="20" spans="1:37" ht="15.75" thickBot="1" x14ac:dyDescent="0.3">
      <c r="A20" s="2"/>
      <c r="B20" s="2"/>
      <c r="C20" s="155"/>
      <c r="D20" s="167"/>
      <c r="E20" s="155"/>
      <c r="F20" s="150" t="s">
        <v>2</v>
      </c>
      <c r="G20" s="150"/>
      <c r="H20" s="151"/>
      <c r="I20" s="149" t="s">
        <v>3</v>
      </c>
      <c r="J20" s="150"/>
      <c r="K20" s="151"/>
      <c r="L20" s="149" t="s">
        <v>2</v>
      </c>
      <c r="M20" s="150"/>
      <c r="N20" s="151"/>
      <c r="O20" s="149" t="s">
        <v>3</v>
      </c>
      <c r="P20" s="150"/>
      <c r="Q20" s="151"/>
      <c r="R20" s="149" t="s">
        <v>2</v>
      </c>
      <c r="S20" s="150"/>
      <c r="T20" s="151"/>
      <c r="U20" s="149" t="s">
        <v>3</v>
      </c>
      <c r="V20" s="150"/>
      <c r="W20" s="151"/>
      <c r="X20" s="149" t="s">
        <v>2</v>
      </c>
      <c r="Y20" s="150"/>
      <c r="Z20" s="151"/>
      <c r="AA20" s="149" t="s">
        <v>3</v>
      </c>
      <c r="AB20" s="150"/>
      <c r="AC20" s="151"/>
      <c r="AD20" s="149" t="s">
        <v>2</v>
      </c>
      <c r="AE20" s="150"/>
      <c r="AF20" s="151"/>
      <c r="AG20" s="149" t="s">
        <v>3</v>
      </c>
      <c r="AH20" s="150"/>
      <c r="AI20" s="151"/>
      <c r="AJ20" s="2"/>
      <c r="AK20" s="2"/>
    </row>
    <row r="21" spans="1:37" ht="24" customHeight="1" thickBot="1" x14ac:dyDescent="0.3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">
      <c r="A22" s="2"/>
      <c r="B22" s="2"/>
      <c r="C22" s="91" t="s">
        <v>319</v>
      </c>
      <c r="D22" s="91" t="s">
        <v>1842</v>
      </c>
      <c r="E22" s="92" t="s">
        <v>1843</v>
      </c>
      <c r="F22" s="96">
        <v>6</v>
      </c>
      <c r="G22" s="96">
        <v>522</v>
      </c>
      <c r="H22" s="94">
        <v>17448</v>
      </c>
      <c r="I22" s="96"/>
      <c r="J22" s="96"/>
      <c r="K22" s="94"/>
      <c r="L22" s="97"/>
      <c r="M22" s="97"/>
      <c r="N22" s="116"/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>
        <v>1</v>
      </c>
      <c r="AE22" s="100">
        <v>110</v>
      </c>
      <c r="AF22" s="122">
        <v>3816</v>
      </c>
      <c r="AG22" s="101"/>
      <c r="AH22" s="100"/>
      <c r="AI22" s="124"/>
      <c r="AJ22" s="2"/>
      <c r="AK22" s="2"/>
    </row>
    <row r="23" spans="1:37" ht="24" customHeight="1" thickBot="1" x14ac:dyDescent="0.3">
      <c r="A23" s="2"/>
      <c r="B23" s="2"/>
      <c r="C23" s="33"/>
      <c r="D23" s="33"/>
      <c r="E23" s="92" t="str">
        <f>IF(ISERROR(VLOOKUP(D23,Sheet3!$A$2:$B$821,2,FALSE)),"",(VLOOKUP(D23,Sheet3!$A$2:$B$821,2,FALSE)))</f>
        <v/>
      </c>
      <c r="F23" s="96"/>
      <c r="G23" s="96"/>
      <c r="H23" s="94"/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3">
      <c r="A24" s="2"/>
      <c r="B24" s="2"/>
      <c r="C24" s="33"/>
      <c r="D24" s="33"/>
      <c r="E24" s="92" t="str">
        <f>IF(ISERROR(VLOOKUP(D24,Sheet3!$A$2:$B$821,2,FALSE)),"",(VLOOKUP(D24,Sheet3!$A$2:$B$821,2,FALSE)))</f>
        <v/>
      </c>
      <c r="F24" s="96"/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3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 x14ac:dyDescent="0.3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 x14ac:dyDescent="0.3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 x14ac:dyDescent="0.3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 x14ac:dyDescent="0.3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 x14ac:dyDescent="0.3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 x14ac:dyDescent="0.3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.75" thickBot="1" x14ac:dyDescent="0.3">
      <c r="A38" s="2"/>
      <c r="B38" s="2"/>
      <c r="C38" s="176"/>
      <c r="D38" s="176"/>
      <c r="E38" s="176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47"/>
      <c r="T38" s="147"/>
      <c r="U38" s="148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.75" thickBot="1" x14ac:dyDescent="0.3">
      <c r="A39" s="2"/>
      <c r="B39" s="2"/>
      <c r="C39" s="127"/>
      <c r="D39" s="127"/>
      <c r="E39" s="68"/>
      <c r="F39" s="95">
        <f>SUM(F22:F37)</f>
        <v>6</v>
      </c>
      <c r="G39" s="95">
        <f>SUM(G22:G37)</f>
        <v>522</v>
      </c>
      <c r="H39" s="113">
        <f>SUM(H22:H37)</f>
        <v>17448</v>
      </c>
      <c r="I39" s="95">
        <f t="shared" ref="I39:AG39" si="0">SUM(I22:I37)</f>
        <v>0</v>
      </c>
      <c r="J39" s="95">
        <f t="shared" si="0"/>
        <v>0</v>
      </c>
      <c r="K39" s="113">
        <f t="shared" si="0"/>
        <v>0</v>
      </c>
      <c r="L39" s="95">
        <f t="shared" si="0"/>
        <v>0</v>
      </c>
      <c r="M39" s="95">
        <f t="shared" si="0"/>
        <v>0</v>
      </c>
      <c r="N39" s="113">
        <f>SUM(N22:N37)</f>
        <v>0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1</v>
      </c>
      <c r="AE39" s="95">
        <f t="shared" si="0"/>
        <v>110</v>
      </c>
      <c r="AF39" s="113">
        <f>SUM(AF22:AF37)</f>
        <v>3816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25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.75" thickBot="1" x14ac:dyDescent="0.3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">
      <c r="A42" s="2"/>
      <c r="B42" s="2"/>
      <c r="C42" s="162"/>
      <c r="D42" s="162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25">
      <c r="A43" s="2"/>
      <c r="B43" s="2"/>
      <c r="C43" s="138" t="s">
        <v>1829</v>
      </c>
      <c r="D43" s="139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25">
      <c r="A44" s="2"/>
      <c r="B44" s="2"/>
      <c r="C44" s="140"/>
      <c r="D44" s="141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1499999999999999" customHeight="1" x14ac:dyDescent="0.25">
      <c r="A45" s="2"/>
      <c r="B45" s="2"/>
      <c r="C45" s="140"/>
      <c r="D45" s="141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25">
      <c r="C46" s="140"/>
      <c r="D46" s="141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.75" thickBot="1" x14ac:dyDescent="0.3">
      <c r="C47" s="142"/>
      <c r="D47" s="143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.75" thickBot="1" x14ac:dyDescent="0.3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2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2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2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R20:T20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AG6:AH6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ageMargins left="0.2" right="0.2" top="0.25" bottom="0.25" header="0.3" footer="0.3"/>
  <pageSetup paperSize="5" scale="4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171450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57150</xdr:colOff>
                    <xdr:row>9</xdr:row>
                    <xdr:rowOff>0</xdr:rowOff>
                  </from>
                  <to>
                    <xdr:col>25</xdr:col>
                    <xdr:colOff>571500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57150</xdr:colOff>
                    <xdr:row>11</xdr:row>
                    <xdr:rowOff>152400</xdr:rowOff>
                  </from>
                  <to>
                    <xdr:col>26</xdr:col>
                    <xdr:colOff>200025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3.7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33.7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33.75" x14ac:dyDescent="0.25">
      <c r="D47" s="9"/>
      <c r="E47" s="11"/>
      <c r="F47" s="14"/>
      <c r="G47" s="17" t="s">
        <v>197</v>
      </c>
      <c r="H47" s="21" t="s">
        <v>78</v>
      </c>
    </row>
    <row r="48" spans="3:9" ht="33.7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33.7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4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22.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ht="22.5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22.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ht="22.5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22.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33.7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ht="22.5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ht="22.5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22.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Sluus, Courtney</cp:lastModifiedBy>
  <cp:lastPrinted>2017-12-08T15:57:11Z</cp:lastPrinted>
  <dcterms:created xsi:type="dcterms:W3CDTF">2016-01-07T15:16:02Z</dcterms:created>
  <dcterms:modified xsi:type="dcterms:W3CDTF">2018-02-22T16:01:52Z</dcterms:modified>
</cp:coreProperties>
</file>