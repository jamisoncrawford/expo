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Y:\E. Smith Projects\On-Going Projects\18-003 Expo Bldg NYS Fairgrounds\18-003 NYS Fairgrounds Exposition Building\Certified Payrolls\"/>
    </mc:Choice>
  </mc:AlternateContent>
  <xr:revisionPtr revIDLastSave="0" documentId="10_ncr:8100000_{D7CEE50E-636E-4302-8CEB-6A35A93883AE}" xr6:coauthVersionLast="34" xr6:coauthVersionMax="34" xr10:uidLastSave="{00000000-0000-0000-0000-000000000000}"/>
  <bookViews>
    <workbookView xWindow="930" yWindow="0" windowWidth="27870" windowHeight="12210" xr2:uid="{00000000-000D-0000-FFFF-FFFF00000000}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'!$C$1:$AI$51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22" i="1" l="1"/>
  <c r="H22" i="1"/>
  <c r="M22" i="1"/>
  <c r="G22" i="1"/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<sst xmlns="http://schemas.openxmlformats.org/spreadsheetml/2006/main" count="2103" uniqueCount="1843">
  <si>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</si>
  <si>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</si>
  <si>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</si>
  <si>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</si>
  <si>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</si>
  <si>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</si>
  <si>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</si>
  <si>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</si>
  <si>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</si>
  <si>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</si>
  <si>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</si>
  <si>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</si>
  <si>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</si>
  <si>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</si>
  <si>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</si>
  <si>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</si>
  <si>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</si>
  <si>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</si>
  <si>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</si>
  <si>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</si>
  <si>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</si>
  <si>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</si>
  <si>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</si>
  <si>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</si>
  <si>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</si>
  <si>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</si>
  <si>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</si>
  <si>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</si>
  <si>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</si>
  <si>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</si>
  <si>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</si>
  <si>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</si>
  <si>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</si>
  <si>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</si>
  <si>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</si>
  <si>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</si>
  <si>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</si>
  <si>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</si>
  <si>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</si>
  <si>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</si>
  <si>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</si>
  <si>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</si>
  <si>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</si>
  <si>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</si>
  <si>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</si>
  <si>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</si>
  <si>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</si>
  <si>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</si>
  <si>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</si>
  <si>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</si>
  <si>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</si>
  <si>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</si>
  <si>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</si>
  <si>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</si>
  <si>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</si>
  <si>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</si>
  <si>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</si>
  <si>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</si>
  <si>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</si>
  <si>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</si>
  <si>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</si>
  <si>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</si>
  <si>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</si>
  <si>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</si>
  <si>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</si>
  <si>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</si>
  <si>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</si>
  <si>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</si>
  <si>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</si>
  <si>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</si>
  <si>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</si>
  <si>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</si>
  <si>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</si>
  <si>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</si>
  <si>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</si>
  <si>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</si>
  <si>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</si>
  <si>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</si>
  <si>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</si>
  <si>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</si>
  <si>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</si>
  <si>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</si>
  <si>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</si>
  <si>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</si>
  <si>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</si>
  <si>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</si>
  <si>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</si>
  <si>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</si>
  <si>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</si>
  <si>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</si>
  <si>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</si>
  <si>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</si>
  <si>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</si>
  <si>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</si>
  <si>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</si>
  <si>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</si>
  <si>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</si>
  <si>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</si>
  <si>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</si>
  <si>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</si>
  <si>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</si>
  <si>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</si>
  <si>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</si>
  <si>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</si>
  <si>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</si>
  <si>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</si>
  <si>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</si>
  <si>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</si>
  <si>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</si>
  <si>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</si>
  <si>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</si>
  <si>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</si>
  <si>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</si>
  <si>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</si>
  <si>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</si>
  <si>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</si>
  <si>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</si>
  <si>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</si>
  <si>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</si>
  <si>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</si>
  <si>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</si>
  <si>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</si>
  <si>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</si>
  <si>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</si>
  <si>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</si>
  <si>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</si>
  <si>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</si>
  <si>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</si>
  <si>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</si>
  <si>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</si>
  <si>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</si>
  <si>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</si>
  <si>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</si>
  <si>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</si>
  <si>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</si>
  <si>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</si>
  <si>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</si>
  <si>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</si>
  <si>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</si>
  <si>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</si>
  <si>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</si>
  <si>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</si>
  <si>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</si>
  <si>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</si>
  <si>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</si>
  <si>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</si>
  <si>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</si>
  <si>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</si>
  <si>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</si>
  <si>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</si>
  <si>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</si>
  <si>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</si>
  <si>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</si>
  <si>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</si>
  <si>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</si>
  <si>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</si>
  <si>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</si>
  <si>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</si>
  <si>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</si>
  <si>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</si>
  <si>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</si>
  <si>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</si>
  <si>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</si>
  <si>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</si>
  <si>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</si>
  <si>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</si>
  <si>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</si>
  <si>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</si>
  <si>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</si>
  <si>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</si>
  <si>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</si>
  <si>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</si>
  <si>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</si>
  <si>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</si>
  <si>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</si>
  <si>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</si>
  <si>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</si>
  <si>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</si>
  <si>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</si>
  <si>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</si>
  <si>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</si>
  <si>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</si>
  <si>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</si>
  <si>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</si>
  <si>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</si>
  <si>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</si>
  <si>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</si>
  <si>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</si>
  <si>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</si>
  <si>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</si>
  <si>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</si>
  <si>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</si>
  <si>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</si>
  <si>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</si>
  <si>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</si>
  <si>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</si>
  <si>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</si>
  <si>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</si>
  <si>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</si>
  <si>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</si>
  <si>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</si>
  <si>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</si>
  <si>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</si>
  <si>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</si>
  <si>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</si>
  <si>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</si>
  <si>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</si>
  <si>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</si>
  <si>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</si>
  <si>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</si>
  <si>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</si>
  <si>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</si>
  <si>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</si>
  <si>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</si>
  <si>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</si>
  <si>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</si>
  <si>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</si>
  <si>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</si>
  <si>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</si>
  <si>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</si>
  <si>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</si>
  <si>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</si>
  <si>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</si>
  <si>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</si>
  <si>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</si>
  <si>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</si>
  <si>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</si>
  <si>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</si>
  <si>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</si>
  <si>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</si>
  <si>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</si>
  <si>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</si>
  <si>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</si>
  <si>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</si>
  <si>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</si>
  <si>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</si>
  <si>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</si>
  <si>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</si>
  <si>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</si>
  <si>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</si>
  <si>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</si>
  <si>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</si>
  <si>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</si>
  <si>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</si>
  <si>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</si>
  <si>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</si>
  <si>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</si>
  <si>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</si>
  <si>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</si>
  <si>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</si>
  <si>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</si>
  <si>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</si>
  <si>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</si>
  <si>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</si>
  <si>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</si>
  <si>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</si>
  <si>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</si>
  <si>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</si>
  <si>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</si>
  <si>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</si>
  <si>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</si>
  <si>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</si>
  <si>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</si>
  <si>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</si>
  <si>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</si>
  <si>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</si>
  <si>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</si>
  <si>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</si>
  <si>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</si>
  <si>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</si>
  <si>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</si>
  <si>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</si>
  <si>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</si>
  <si>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</si>
  <si>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</si>
  <si>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</si>
  <si>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</si>
  <si>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</si>
  <si>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</si>
  <si>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</si>
  <si>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</si>
  <si>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</si>
  <si>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</si>
  <si>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</si>
  <si>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</si>
  <si>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</si>
  <si>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</si>
  <si>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</si>
  <si>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</si>
  <si>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</si>
  <si>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</si>
  <si>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</si>
  <si>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</si>
  <si>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</si>
  <si>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</si>
  <si>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</si>
  <si>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</si>
  <si>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</si>
  <si>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</si>
  <si>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</si>
  <si>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</si>
  <si>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</si>
  <si>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</si>
  <si>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</si>
  <si>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</si>
  <si>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</si>
  <si>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</si>
  <si>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</si>
  <si>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</si>
  <si>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</si>
  <si>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</si>
  <si>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</si>
  <si>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</si>
  <si>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</si>
  <si>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</si>
  <si>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</si>
  <si>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</si>
  <si>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</si>
  <si>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</si>
  <si>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</si>
  <si>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</si>
  <si>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</si>
  <si>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</si>
  <si>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</si>
  <si>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</si>
  <si>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</si>
  <si>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</si>
  <si>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</si>
  <si>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</si>
  <si>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</si>
  <si>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</si>
  <si>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</si>
  <si>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</si>
  <si>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</si>
  <si>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</si>
  <si>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</si>
  <si>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</si>
  <si>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</si>
  <si>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</si>
  <si>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</si>
  <si>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</si>
  <si>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</si>
  <si>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</si>
  <si>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</si>
  <si>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</si>
  <si>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</si>
  <si>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</si>
  <si>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</si>
  <si>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</si>
  <si>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</si>
  <si>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</si>
  <si>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</si>
  <si>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</si>
  <si>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</si>
  <si>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</si>
  <si>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</si>
  <si>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</si>
  <si>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</si>
  <si>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</si>
  <si>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</si>
  <si>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</si>
  <si>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</si>
  <si>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</si>
  <si>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</si>
  <si>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</si>
  <si>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</si>
  <si>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</si>
  <si>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</si>
  <si>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</si>
  <si>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</si>
  <si>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</si>
  <si>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</si>
  <si>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</si>
  <si>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</si>
  <si>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</si>
  <si>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</si>
  <si>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</si>
  <si>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</si>
  <si>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</si>
  <si>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</si>
  <si>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</si>
  <si>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</si>
  <si>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</si>
  <si>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</si>
  <si>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</si>
  <si>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</si>
  <si>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</si>
  <si>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</si>
  <si>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</si>
  <si>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</si>
  <si>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</si>
  <si>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</si>
  <si>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</si>
  <si>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</si>
  <si>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</si>
  <si>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</si>
  <si>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</si>
  <si>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</si>
  <si>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</si>
  <si>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</si>
  <si>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</si>
  <si>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</si>
  <si>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</si>
  <si>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</si>
  <si>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</si>
  <si>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</si>
  <si>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</si>
  <si>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</si>
  <si>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</si>
  <si>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</si>
  <si>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</si>
  <si>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</si>
  <si>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</si>
  <si>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</si>
  <si>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</si>
  <si>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</si>
  <si>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</si>
  <si>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</si>
  <si>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</si>
  <si>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</si>
  <si>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</si>
  <si>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</si>
  <si>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</si>
  <si>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</si>
  <si>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</si>
  <si>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</si>
  <si>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</si>
  <si>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</si>
  <si>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</si>
  <si>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</si>
  <si>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</si>
  <si>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</si>
  <si>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</si>
  <si>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</si>
  <si>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</si>
  <si>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</si>
  <si>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</si>
  <si>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</si>
  <si>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</si>
  <si>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</si>
  <si>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</si>
  <si>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</si>
  <si>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</si>
  <si>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</si>
  <si>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</si>
  <si>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</si>
  <si>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</si>
  <si>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</si>
  <si>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</si>
  <si>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</si>
  <si>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</si>
  <si>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</si>
  <si>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</si>
  <si>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</si>
  <si>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</si>
  <si>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</si>
  <si>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</si>
  <si>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</si>
  <si>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</si>
  <si>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</si>
  <si>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</si>
  <si>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</si>
  <si>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</si>
  <si>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</si>
  <si>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</si>
  <si>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</si>
  <si>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</si>
  <si>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</si>
  <si>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</si>
  <si>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</si>
  <si>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</si>
  <si>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</si>
  <si>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</si>
  <si>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</si>
  <si>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</si>
  <si>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</si>
  <si>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</si>
  <si>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</si>
  <si>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</si>
  <si>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</si>
  <si>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</si>
  <si>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</si>
  <si>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</si>
  <si>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</si>
  <si>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</si>
  <si>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</si>
  <si>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</si>
  <si>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</si>
  <si>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</si>
  <si>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</si>
  <si>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</si>
  <si>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</si>
  <si>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</si>
  <si>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</si>
  <si>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</si>
  <si>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</si>
  <si>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</si>
  <si>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</si>
  <si>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</si>
  <si>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</si>
  <si>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</si>
  <si>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</si>
  <si>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</si>
  <si>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</si>
  <si>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</si>
  <si>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</si>
  <si>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</si>
  <si>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</si>
  <si>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</si>
  <si>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</si>
  <si>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</si>
  <si>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</si>
  <si>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</si>
  <si>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</si>
  <si>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</si>
  <si>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</si>
  <si>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</si>
  <si>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</si>
  <si>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</si>
  <si>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</si>
  <si>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</si>
  <si>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</si>
  <si>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</si>
  <si>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</si>
  <si>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</si>
  <si>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</si>
  <si>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</si>
  <si>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</si>
  <si>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</si>
  <si>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</si>
  <si>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</si>
  <si>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</si>
  <si>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</si>
  <si>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</si>
  <si>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</si>
  <si>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</si>
  <si>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</si>
  <si>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</si>
  <si>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</si>
  <si>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</si>
  <si>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</si>
  <si>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</si>
  <si>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</si>
  <si>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</si>
  <si>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</si>
  <si>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</si>
  <si>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</si>
  <si>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</si>
  <si>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</si>
  <si>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</si>
  <si>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</si>
  <si>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</si>
  <si>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</si>
  <si>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</si>
  <si>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</si>
  <si>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</si>
  <si>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</si>
  <si>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</si>
  <si>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</si>
  <si>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</si>
  <si>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</si>
  <si>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</si>
  <si>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</si>
  <si>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</si>
  <si>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</si>
  <si>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</si>
  <si>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</si>
  <si>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</si>
  <si>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</si>
  <si>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</si>
  <si>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</si>
  <si>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</si>
  <si>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</si>
  <si>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</si>
  <si>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</si>
  <si>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</si>
  <si>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</si>
  <si>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</si>
  <si>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</si>
  <si>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</si>
  <si>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</si>
  <si>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</si>
  <si>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</si>
  <si>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</si>
  <si>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</si>
  <si>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</si>
  <si>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</si>
  <si>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</si>
  <si>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</si>
  <si>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</si>
  <si>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</si>
  <si>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</si>
  <si>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</si>
  <si>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</si>
  <si>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</si>
  <si>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</si>
  <si>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</si>
  <si>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</si>
  <si>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</si>
  <si>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</si>
  <si>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</si>
  <si>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</si>
  <si>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</si>
  <si>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</si>
  <si>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</si>
  <si>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</si>
  <si>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</si>
  <si>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</si>
  <si>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</si>
  <si>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</si>
  <si>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</si>
  <si>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</si>
  <si>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</si>
  <si>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</si>
  <si>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</si>
  <si>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</si>
  <si>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</si>
  <si>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</si>
  <si>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</si>
  <si>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</si>
  <si>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</si>
  <si>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</si>
  <si>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</si>
  <si>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</si>
  <si>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</si>
  <si>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</si>
  <si>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</si>
  <si>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</si>
  <si>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</si>
  <si>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</si>
  <si>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</si>
  <si>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</si>
  <si>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</si>
  <si>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</si>
  <si>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</si>
  <si>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</si>
  <si>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</si>
  <si>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</si>
  <si>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</si>
  <si>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</si>
  <si>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</si>
  <si>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</si>
  <si>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</si>
  <si>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</si>
  <si>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</si>
  <si>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</si>
  <si>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</si>
  <si>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</si>
  <si>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</si>
  <si>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</si>
  <si>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</si>
  <si>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</si>
  <si>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</si>
  <si>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</si>
  <si>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</si>
  <si>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</si>
  <si>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</si>
  <si>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</si>
  <si>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</si>
  <si>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</si>
  <si>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</si>
  <si>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</si>
  <si>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</si>
  <si>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</si>
  <si>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</si>
  <si>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</si>
  <si>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</si>
  <si>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</si>
  <si>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</si>
  <si>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</si>
  <si>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</si>
  <si>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</si>
  <si>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</si>
  <si>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</si>
  <si>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</si>
  <si>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</si>
  <si>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</si>
  <si>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</si>
  <si>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</si>
  <si>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</si>
  <si>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</si>
  <si>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</si>
  <si>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</si>
  <si>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</si>
  <si>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</si>
  <si>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</si>
  <si>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</si>
  <si>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</si>
  <si>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</si>
  <si>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</si>
  <si>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</si>
  <si>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</si>
  <si>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</si>
  <si>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</si>
  <si>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</si>
  <si>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</si>
  <si>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</si>
  <si>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</si>
  <si>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</si>
  <si>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</si>
  <si>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</si>
  <si>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</si>
  <si>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</si>
  <si>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</si>
  <si>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</si>
  <si>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</si>
  <si>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</si>
  <si>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</si>
  <si>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</si>
  <si>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</si>
  <si>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</si>
  <si>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</si>
  <si>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</si>
  <si>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</si>
  <si>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</si>
  <si>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</si>
  <si>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</si>
  <si>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</si>
  <si>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</si>
  <si>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</si>
  <si>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</si>
  <si>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</si>
  <si>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</si>
  <si>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</si>
  <si>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</si>
  <si>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</si>
  <si>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</si>
  <si>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</si>
  <si>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</si>
  <si>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</si>
  <si>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</si>
  <si>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</si>
  <si>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</si>
  <si>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</si>
  <si>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</si>
  <si>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</si>
  <si>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</si>
  <si>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</si>
  <si>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</si>
  <si>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</si>
  <si>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</si>
  <si>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</si>
  <si>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</si>
  <si>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</si>
  <si>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</si>
  <si>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</si>
  <si>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</si>
  <si>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</si>
  <si>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</si>
  <si>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</si>
  <si>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</si>
  <si>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</si>
  <si>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</si>
  <si>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</si>
  <si>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</si>
  <si>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</si>
  <si>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</si>
  <si>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</si>
  <si>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</si>
  <si>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</si>
  <si>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</si>
  <si>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</si>
  <si>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</si>
  <si>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</si>
  <si>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</si>
  <si>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</si>
  <si>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</si>
  <si>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</si>
  <si>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</si>
  <si>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</si>
  <si>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</si>
  <si>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</si>
  <si>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</si>
  <si>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</si>
  <si>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</si>
  <si>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</si>
  <si>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</si>
  <si>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</si>
  <si>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</si>
  <si>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</si>
  <si>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</si>
  <si>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</si>
  <si>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</si>
  <si>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</si>
  <si>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</si>
  <si>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</si>
  <si>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</si>
  <si>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</si>
  <si>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</si>
  <si>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</si>
  <si>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</si>
  <si>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</si>
  <si>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</si>
  <si>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</si>
  <si>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</si>
  <si>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</si>
  <si>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</si>
  <si>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</si>
  <si>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</si>
  <si>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</si>
  <si>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</si>
  <si>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</si>
  <si>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</si>
  <si>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</si>
  <si>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</si>
  <si>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</si>
  <si>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</si>
  <si>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</si>
  <si>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</si>
  <si>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</si>
  <si>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</si>
  <si>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</si>
  <si>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</si>
  <si>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</si>
  <si>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</si>
  <si>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</si>
  <si>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</si>
  <si>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</si>
  <si>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</si>
  <si>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</si>
  <si>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</si>
  <si>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</si>
  <si>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</si>
  <si>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</si>
  <si>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</si>
  <si>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</si>
  <si>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</si>
  <si>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</si>
  <si>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</si>
  <si>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</si>
  <si>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</si>
  <si>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</si>
  <si>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</si>
  <si>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</si>
  <si>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</si>
  <si>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</si>
  <si>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</si>
  <si>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</si>
  <si>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</si>
  <si>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</si>
  <si>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</si>
  <si>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</si>
  <si>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</si>
  <si>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</si>
  <si>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</si>
  <si>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</si>
  <si>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</si>
  <si>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</si>
  <si>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</si>
  <si>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</si>
  <si>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</si>
  <si>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</si>
  <si>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</si>
  <si>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</si>
  <si>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</si>
  <si>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</si>
  <si>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</si>
  <si>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</si>
  <si>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</si>
  <si>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</si>
  <si>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</si>
  <si>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</si>
  <si>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</si>
  <si>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</si>
  <si>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</si>
  <si>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</si>
  <si>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</si>
  <si>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</si>
  <si>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</si>
  <si>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</si>
  <si>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</si>
  <si>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</si>
  <si>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</si>
  <si>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</si>
  <si>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</si>
  <si>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</si>
  <si>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</si>
  <si>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</si>
  <si>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</si>
  <si>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</si>
  <si>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</si>
  <si>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</si>
  <si>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</si>
  <si>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</si>
  <si>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</si>
  <si>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</si>
  <si>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</si>
  <si>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</si>
  <si>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</si>
  <si>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</si>
  <si>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</si>
  <si>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</si>
  <si>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</si>
  <si>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</si>
  <si>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</si>
  <si>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</si>
  <si>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</si>
  <si>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</si>
  <si>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</si>
  <si>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</si>
  <si>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</si>
  <si>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</si>
  <si>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</si>
  <si>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</si>
  <si>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</si>
  <si>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</si>
  <si>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</si>
  <si>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</si>
  <si>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</si>
  <si>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</si>
  <si>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</si>
  <si>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</si>
  <si>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</si>
  <si>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</si>
  <si>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</si>
  <si>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</si>
  <si>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</si>
  <si>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</si>
  <si>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</si>
  <si>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</si>
  <si>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</si>
  <si>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</si>
  <si>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</si>
  <si>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</si>
  <si>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</si>
  <si>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</si>
  <si>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</si>
  <si>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</si>
  <si>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</si>
  <si>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</si>
  <si>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</si>
  <si>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</si>
  <si>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</si>
  <si>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</si>
  <si>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</si>
  <si>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</si>
  <si>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</si>
  <si>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</si>
  <si>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</si>
  <si>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</si>
  <si>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</si>
  <si>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</si>
  <si>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</si>
  <si>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</si>
  <si>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</si>
  <si>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</si>
  <si>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</si>
  <si>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</si>
  <si>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</si>
  <si>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</si>
  <si>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</si>
  <si>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</si>
  <si>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</si>
  <si>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</si>
  <si>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</si>
  <si>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</si>
  <si>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</si>
  <si>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</si>
  <si>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</si>
  <si>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</si>
  <si>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</si>
  <si>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</si>
  <si>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</si>
  <si>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</si>
  <si>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</si>
  <si>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</si>
  <si>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</si>
  <si>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</si>
  <si>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</si>
  <si>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</si>
  <si>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</si>
  <si>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</si>
  <si>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</si>
  <si>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</si>
  <si>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</si>
  <si>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</si>
  <si>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</si>
  <si>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</si>
  <si>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</si>
  <si>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</si>
  <si>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</si>
  <si>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</si>
  <si>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</si>
  <si>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</si>
  <si>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</si>
  <si>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</si>
  <si>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</si>
  <si>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</si>
  <si>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</si>
  <si>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</si>
  <si>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</si>
  <si>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</si>
  <si>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</si>
  <si>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</si>
  <si>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</si>
  <si>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</si>
  <si>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</si>
  <si>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</si>
  <si>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</si>
  <si>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</si>
  <si>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</si>
  <si>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</si>
  <si>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</si>
  <si>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</si>
  <si>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</si>
  <si>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</si>
  <si>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</si>
  <si>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</si>
  <si>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</si>
  <si>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</si>
  <si>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</si>
  <si>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</si>
  <si>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</si>
  <si>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</si>
  <si>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</si>
  <si>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</si>
  <si>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</si>
  <si>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</si>
  <si>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</si>
  <si>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</si>
  <si>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</si>
  <si>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</si>
  <si>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</si>
  <si>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</si>
  <si>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</si>
  <si>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</si>
  <si>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</si>
  <si>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</si>
  <si>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</si>
  <si>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</si>
  <si>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</si>
  <si>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</si>
  <si>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</si>
  <si>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</si>
  <si>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</si>
  <si>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</si>
  <si>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</si>
  <si>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</si>
  <si>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</si>
  <si>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</si>
  <si>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</si>
  <si>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</si>
  <si>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</si>
  <si>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</si>
  <si>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</si>
  <si>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</si>
  <si>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</si>
  <si>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</si>
  <si>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</si>
  <si>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</si>
  <si>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</si>
  <si>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</si>
  <si>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</si>
  <si>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</si>
  <si>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</si>
  <si>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</si>
  <si>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</si>
  <si>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</si>
  <si>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</si>
  <si>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</si>
  <si>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</si>
  <si>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</si>
  <si>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</si>
  <si>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</si>
  <si>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</si>
  <si>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</si>
  <si>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</si>
  <si>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</si>
  <si>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</si>
  <si>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</si>
  <si>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</si>
  <si>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</si>
  <si>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</si>
  <si>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</si>
  <si>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</si>
  <si>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</si>
  <si>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</si>
  <si>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</si>
  <si>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</si>
  <si>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</si>
  <si>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</si>
  <si>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</si>
  <si>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</si>
  <si>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</si>
  <si>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</si>
  <si>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</si>
  <si>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</si>
  <si>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</si>
  <si>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</si>
  <si>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</si>
  <si>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</si>
  <si>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</si>
  <si>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</si>
  <si>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</si>
  <si>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</si>
  <si>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</si>
  <si>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</si>
  <si>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</si>
  <si>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</si>
  <si>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</si>
  <si>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</si>
  <si>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</si>
  <si>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</si>
  <si>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</si>
  <si>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</si>
  <si>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</si>
  <si>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</si>
  <si>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</si>
  <si>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</si>
  <si>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</si>
  <si>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</si>
  <si>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</si>
  <si>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</si>
  <si>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</si>
  <si>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</si>
  <si>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</si>
  <si>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</si>
  <si>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</si>
  <si>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</si>
  <si>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</si>
  <si>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</si>
  <si>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</si>
  <si>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</si>
  <si>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</si>
  <si>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</si>
  <si>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</si>
  <si>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</si>
  <si>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</si>
  <si>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</si>
  <si>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</si>
  <si>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</si>
  <si>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</si>
  <si>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</si>
  <si>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</si>
  <si>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</si>
  <si>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</si>
  <si>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</si>
  <si>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</si>
  <si>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</si>
  <si>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</si>
  <si>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</si>
  <si>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</si>
  <si>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</si>
  <si>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</si>
  <si>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</si>
  <si>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</si>
  <si>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</si>
  <si>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</si>
  <si>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</si>
  <si>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</si>
  <si>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</si>
  <si>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</si>
  <si>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</si>
  <si>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</si>
  <si>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</si>
  <si>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</si>
  <si>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</si>
  <si>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</si>
  <si>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</si>
  <si>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</si>
  <si>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</si>
  <si>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</si>
  <si>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</si>
  <si>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</si>
  <si>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</si>
  <si>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</si>
  <si>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</si>
  <si>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</si>
  <si>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</si>
  <si>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</si>
  <si>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</si>
  <si>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</si>
  <si>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</si>
  <si>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</si>
  <si>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</si>
  <si>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</si>
  <si>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</si>
  <si>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</si>
  <si>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</si>
  <si>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</si>
  <si>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</si>
  <si>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</si>
  <si>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</si>
  <si>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</si>
  <si>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</si>
  <si>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</si>
  <si>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</si>
  <si>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</si>
  <si>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</si>
  <si>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</si>
  <si>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</si>
  <si>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</si>
  <si>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</si>
  <si>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</si>
  <si>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</si>
  <si>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</si>
  <si>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</si>
  <si>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</si>
  <si>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</si>
  <si>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</si>
  <si>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</si>
  <si>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</si>
  <si>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</si>
  <si>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</si>
  <si>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</si>
  <si>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</si>
  <si>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</si>
  <si>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</si>
  <si>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</si>
  <si>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</si>
  <si>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</si>
  <si>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</si>
  <si>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</si>
  <si>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</si>
  <si>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</si>
  <si>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</si>
  <si>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</si>
  <si>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</si>
  <si>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</si>
  <si>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</si>
  <si>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</si>
  <si>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</si>
  <si>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</si>
  <si>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</si>
  <si>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</si>
  <si>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</si>
  <si>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</si>
  <si>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</si>
  <si>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</si>
  <si>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</si>
  <si>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</si>
  <si>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</si>
  <si>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</si>
  <si>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</si>
  <si>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</si>
  <si>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</si>
  <si>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</si>
  <si>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</si>
  <si>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</si>
  <si>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</si>
  <si>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</si>
  <si>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</si>
  <si>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</si>
  <si>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</si>
  <si>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</si>
  <si>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</si>
  <si>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</si>
  <si>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</si>
  <si>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</si>
  <si>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</si>
  <si>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</si>
  <si>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</si>
  <si>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</si>
  <si>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</si>
  <si>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</si>
  <si>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</si>
  <si>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</si>
  <si>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</si>
  <si>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</si>
  <si>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</si>
  <si>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</si>
  <si>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</si>
  <si>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</si>
  <si>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</si>
  <si>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</si>
  <si>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</si>
  <si>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</si>
  <si>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</si>
  <si>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</si>
  <si>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</si>
  <si>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</si>
  <si>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</si>
  <si>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</si>
  <si>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</si>
  <si>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</si>
  <si>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</si>
  <si>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</si>
  <si>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</si>
  <si>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</si>
  <si>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</si>
  <si>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</si>
  <si>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</si>
  <si>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</si>
  <si>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</si>
  <si>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</si>
  <si>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</si>
  <si>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</si>
  <si>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</si>
  <si>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</si>
  <si>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</si>
  <si>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</si>
  <si>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</si>
  <si>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</si>
  <si>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</si>
  <si>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</si>
  <si>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</si>
  <si>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</si>
  <si>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</si>
  <si>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</si>
  <si>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</si>
  <si>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</si>
  <si>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</si>
  <si>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</si>
  <si>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</si>
  <si>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</si>
  <si>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</si>
  <si>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</si>
  <si>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</si>
  <si>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</si>
  <si>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</si>
  <si>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</si>
  <si>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</si>
  <si>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</si>
  <si>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</si>
  <si>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</si>
  <si>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</si>
  <si>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</si>
  <si>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</si>
  <si>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</si>
  <si>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</si>
  <si>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</si>
  <si>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</si>
  <si>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</si>
  <si>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</si>
  <si>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</si>
  <si>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</si>
  <si>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</si>
  <si>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</si>
  <si>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</si>
  <si>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</si>
  <si>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</si>
  <si>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</si>
  <si>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</si>
  <si>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</si>
  <si>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</si>
  <si>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</si>
  <si>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</si>
  <si>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</si>
  <si>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</si>
  <si>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</si>
  <si>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</si>
  <si>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</si>
  <si>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</si>
  <si>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</si>
  <si>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</si>
  <si>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</si>
  <si>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</si>
  <si>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</si>
  <si>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</si>
  <si>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</si>
  <si>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</si>
  <si>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</si>
  <si>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</si>
  <si>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</si>
  <si>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</si>
  <si>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</si>
  <si>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</si>
  <si>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</si>
  <si>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</si>
  <si>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</si>
  <si>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</si>
  <si>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</si>
  <si>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</si>
  <si>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</si>
  <si>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</si>
  <si>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</si>
  <si>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</si>
  <si>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</si>
  <si>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</si>
  <si>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</si>
  <si>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</si>
  <si>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</si>
  <si>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</si>
  <si>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</si>
  <si>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</si>
  <si>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</si>
  <si>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</si>
  <si>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</si>
  <si>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</si>
  <si>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</si>
  <si>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</si>
  <si>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</si>
  <si>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</si>
  <si>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</si>
  <si>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</si>
  <si>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</si>
  <si>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</si>
  <si>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</si>
  <si>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</si>
  <si>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</si>
  <si>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</si>
  <si>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</si>
  <si>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</si>
  <si>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</si>
  <si>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</si>
  <si>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</si>
  <si>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</si>
  <si>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</si>
  <si>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</si>
  <si>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</si>
  <si>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</si>
  <si>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</si>
  <si>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</si>
  <si>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</si>
  <si>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</si>
  <si>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</si>
  <si>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</si>
  <si>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</si>
  <si>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</si>
  <si>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</si>
  <si>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</si>
  <si>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</si>
  <si>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</si>
  <si>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</si>
  <si>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</si>
  <si>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</si>
  <si>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</si>
  <si>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</si>
  <si>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</si>
  <si>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</si>
  <si>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</si>
  <si>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</si>
  <si>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</si>
  <si>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</si>
  <si>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</si>
  <si>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</si>
  <si>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</si>
  <si>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</si>
  <si>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</si>
  <si>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</si>
  <si>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</si>
  <si>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</si>
  <si>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</si>
  <si>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</si>
  <si>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</si>
  <si>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</si>
  <si>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</si>
  <si>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</si>
  <si>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</si>
  <si>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</si>
  <si>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</si>
  <si>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</si>
  <si>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</si>
  <si>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</si>
  <si>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</si>
  <si>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</si>
  <si>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</si>
  <si>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</si>
  <si>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</si>
  <si>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</si>
  <si>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</si>
  <si>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</si>
  <si>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</si>
  <si>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</si>
  <si>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</si>
  <si>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</si>
  <si>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</si>
  <si>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</si>
  <si>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</si>
  <si>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</si>
  <si>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</si>
  <si>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</si>
  <si>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</si>
  <si>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</si>
  <si>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</si>
  <si>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</si>
  <si>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</si>
  <si>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</si>
  <si>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</si>
  <si>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</si>
  <si>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</si>
  <si>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</si>
  <si>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</si>
  <si>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</si>
  <si>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</si>
  <si>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</si>
  <si>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</si>
  <si>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</si>
  <si>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</si>
  <si>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</si>
  <si>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</si>
  <si>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</si>
  <si>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</si>
  <si>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</si>
  <si>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</si>
  <si>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</si>
  <si>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</si>
  <si>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</si>
  <si>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</si>
  <si>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</si>
  <si>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</si>
  <si>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</si>
  <si>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</si>
  <si>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</si>
  <si>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</si>
  <si>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</si>
  <si>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</si>
  <si>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</si>
  <si>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</si>
  <si>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</si>
  <si>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</si>
  <si>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</si>
  <si>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</si>
  <si>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</si>
  <si>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</si>
  <si>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</si>
  <si>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</si>
  <si>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</si>
  <si>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</si>
  <si>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</si>
  <si>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</si>
  <si>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</si>
  <si>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</si>
  <si>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</si>
  <si>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</si>
  <si>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</si>
  <si>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</si>
  <si>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</si>
  <si>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</si>
  <si>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</si>
  <si>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</si>
  <si>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</si>
  <si>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</si>
  <si>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</si>
  <si>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</si>
  <si>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</si>
  <si>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</si>
  <si>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</si>
  <si>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</si>
  <si>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</si>
  <si>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</si>
  <si>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</si>
  <si>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</si>
  <si>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</si>
  <si>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</si>
  <si>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</si>
  <si>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</si>
  <si>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</si>
  <si>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</si>
  <si>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</si>
  <si>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</si>
  <si>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</si>
  <si>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</si>
  <si>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</si>
  <si>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</si>
  <si>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</si>
  <si>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</si>
  <si>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</si>
  <si>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</si>
  <si>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</si>
  <si>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</si>
  <si>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</si>
  <si>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</si>
  <si>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</si>
  <si>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</si>
  <si>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</si>
  <si>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</si>
  <si>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</si>
  <si>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</si>
  <si>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</si>
  <si>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</si>
  <si>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</si>
  <si>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</si>
  <si>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</si>
  <si>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</si>
  <si>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</si>
  <si>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</si>
  <si>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</si>
  <si>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</si>
  <si>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</si>
  <si>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</si>
  <si>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</si>
  <si>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</si>
  <si>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</si>
  <si>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</si>
  <si>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</si>
  <si>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</si>
  <si>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</si>
  <si>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</si>
  <si>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</si>
  <si>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</si>
  <si>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</si>
  <si>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</si>
  <si>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</si>
  <si>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</si>
  <si>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</si>
  <si>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</si>
  <si>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</si>
  <si>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</si>
  <si>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</si>
  <si>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</si>
  <si>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</si>
  <si>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</si>
  <si>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</si>
  <si>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</si>
  <si>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</si>
  <si>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</si>
  <si>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</si>
  <si>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</si>
  <si>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</si>
  <si>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</si>
  <si>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</si>
  <si>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</si>
  <si>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</si>
  <si>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</si>
  <si>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</si>
  <si>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</si>
  <si>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</si>
  <si>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</si>
  <si>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</si>
  <si>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</si>
  <si>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</si>
  <si>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</si>
  <si>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</si>
  <si>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</si>
  <si>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</si>
  <si>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</si>
  <si>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</si>
  <si>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</si>
  <si>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</si>
  <si>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</si>
  <si>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</si>
  <si>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</si>
  <si>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</si>
  <si>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</si>
  <si>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</si>
  <si>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</si>
  <si>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</si>
  <si>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</si>
  <si>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</si>
  <si>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</si>
  <si>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</si>
  <si>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</si>
  <si>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</si>
  <si>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</si>
  <si>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</si>
  <si>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</si>
  <si>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</si>
  <si>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</si>
  <si>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</si>
  <si>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</si>
  <si>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</si>
  <si>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</si>
  <si>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</si>
  <si>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</si>
  <si>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</si>
  <si>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</si>
  <si>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</si>
  <si>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</si>
  <si>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</si>
  <si>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</si>
  <si>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</si>
  <si>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</si>
  <si>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</si>
  <si>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</si>
  <si>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</si>
  <si>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</si>
  <si>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</si>
  <si>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</si>
  <si>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</si>
  <si>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</si>
  <si>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</si>
  <si>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</si>
  <si>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</si>
  <si>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</si>
  <si>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</si>
  <si>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</si>
  <si>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</si>
  <si>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</si>
  <si>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</si>
  <si>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</si>
  <si>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</si>
  <si>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</si>
  <si>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</si>
  <si>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</si>
  <si>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</si>
  <si>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</si>
  <si>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</si>
  <si>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</si>
  <si>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</si>
  <si>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</si>
  <si>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</si>
  <si>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</si>
  <si>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</si>
  <si>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</si>
  <si>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</si>
  <si>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</si>
  <si>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</si>
  <si>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</si>
  <si>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</si>
  <si>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</si>
  <si>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</si>
  <si>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</si>
  <si>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</si>
  <si>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</si>
  <si>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</si>
  <si>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</si>
  <si>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</si>
  <si>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</si>
  <si>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</si>
  <si>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</si>
  <si>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</si>
  <si>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</si>
  <si>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</si>
  <si>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</si>
  <si>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</si>
  <si>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</si>
  <si>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</si>
  <si>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</si>
  <si>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</si>
  <si>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</si>
  <si>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</si>
  <si>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</si>
  <si>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</si>
  <si>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</si>
  <si>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</si>
  <si>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</si>
  <si>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</si>
  <si>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</si>
  <si>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</si>
  <si>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</si>
  <si>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</si>
  <si>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</si>
  <si>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</si>
  <si>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</si>
  <si>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</si>
  <si>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</si>
  <si>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</si>
  <si>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</si>
  <si>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</si>
  <si>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</si>
  <si>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</si>
  <si>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</si>
  <si>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</si>
  <si>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</si>
  <si>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</si>
  <si>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</si>
  <si>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</si>
  <si>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</si>
  <si>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</si>
  <si>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</si>
  <si>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</si>
  <si>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</si>
  <si>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</si>
  <si>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</si>
  <si>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</si>
  <si>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</si>
  <si>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</si>
  <si>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</si>
  <si>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</si>
  <si>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</si>
  <si>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</si>
  <si>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</si>
  <si>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</si>
  <si>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</si>
  <si>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</si>
  <si>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</si>
  <si>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</si>
  <si>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</si>
  <si>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</si>
  <si>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</si>
  <si>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</si>
  <si>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</si>
  <si>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</si>
  <si>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</si>
  <si>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</si>
  <si>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</si>
  <si>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</si>
  <si>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</si>
  <si>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</si>
  <si>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</si>
  <si>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</si>
  <si>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</si>
  <si>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</si>
  <si>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</si>
  <si>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</si>
  <si>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</si>
  <si>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</si>
  <si>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</si>
  <si>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</si>
  <si>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</si>
  <si>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</si>
  <si>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</si>
  <si>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</si>
  <si>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</si>
  <si>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</si>
  <si>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</si>
  <si>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</si>
  <si>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</si>
  <si>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</si>
  <si>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</si>
  <si>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</si>
  <si>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</si>
  <si>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</si>
  <si>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</si>
  <si>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</si>
  <si>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</si>
  <si>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</si>
  <si>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</si>
  <si>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</si>
  <si>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</si>
  <si>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</si>
  <si>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</si>
  <si>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</si>
  <si>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</si>
  <si>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</si>
  <si>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</si>
  <si>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</si>
  <si>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</si>
  <si>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</si>
  <si>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</si>
  <si>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</si>
  <si>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</si>
  <si>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</si>
  <si>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</si>
  <si>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</si>
  <si>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</si>
  <si>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</si>
  <si>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</si>
  <si>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</si>
  <si>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</si>
  <si>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</si>
  <si>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</si>
  <si>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</si>
  <si>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</si>
  <si>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</si>
  <si>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</si>
  <si>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</si>
  <si>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</si>
  <si>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</si>
  <si>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</si>
  <si>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</si>
  <si>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</si>
  <si>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</si>
  <si>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</si>
  <si>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</si>
  <si>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Contractor Number JV179996</t>
  </si>
  <si>
    <t>E Smith Contractors, LLC</t>
  </si>
  <si>
    <t>731 James Street Suit # 223A  Syrcuse , NY 13203</t>
  </si>
  <si>
    <t>Shayna Copes</t>
  </si>
  <si>
    <t>Comptroller</t>
  </si>
  <si>
    <t>Drywall and Ceiling Tile Installers</t>
  </si>
  <si>
    <t>47-8081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</si>
</sst>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304800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25</xdr:col>
          <xdr:colOff>514350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JobCode_table" displayName="JobCode_table" ref="A1:A10" totalsRowShown="0" headerRowDxfId="4" dataDxfId="3" tableBorderDxfId="2">
  <autoFilter ref="A1:A10" xr:uid="{00000000-0009-0000-0100-000001000000}"/>
  <tableColumns count="1">
    <tableColumn id="1" xr3:uid="{00000000-0010-0000-0000-000001000000}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JobTitle_table" displayName="JobTitle_table" ref="B1:J267" totalsRowShown="0">
  <autoFilter ref="B1:J267" xr:uid="{00000000-0009-0000-0100-000002000000}"/>
  <tableColumns count="9">
    <tableColumn id="1" xr3:uid="{00000000-0010-0000-0100-000001000000}" name="Executive_SeniorOfficers_Mgrs"/>
    <tableColumn id="2" xr3:uid="{00000000-0010-0000-0100-000002000000}" name="First_MidOfficers_Mgrs"/>
    <tableColumn id="3" xr3:uid="{00000000-0010-0000-0100-000003000000}" name="Professionals" dataDxfId="0"/>
    <tableColumn id="4" xr3:uid="{00000000-0010-0000-0100-000004000000}" name="Technicians"/>
    <tableColumn id="5" xr3:uid="{00000000-0010-0000-0100-000005000000}" name="Administrative_Support_Workers"/>
    <tableColumn id="6" xr3:uid="{00000000-0010-0000-0100-000006000000}" name="Craft_Workers"/>
    <tableColumn id="7" xr3:uid="{00000000-0010-0000-0100-000007000000}" name="Operatives"/>
    <tableColumn id="8" xr3:uid="{00000000-0010-0000-0100-000008000000}" name="Labors_Helpers"/>
    <tableColumn id="9" xr3:uid="{00000000-0010-0000-0100-000009000000}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K54"/>
  <sheetViews>
    <sheetView showGridLines="0" tabSelected="1" zoomScale="55" zoomScaleNormal="55" zoomScaleSheetLayoutView="40" zoomScalePageLayoutView="96" workbookViewId="0">
      <selection activeCell="N23" sqref="N23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4" max="24" width="13.140625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71" t="s">
        <v>322</v>
      </c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8" t="s">
        <v>0</v>
      </c>
      <c r="E5" s="133"/>
      <c r="F5" s="133"/>
      <c r="G5" s="129"/>
      <c r="H5" s="129"/>
      <c r="I5" s="170" t="s">
        <v>321</v>
      </c>
      <c r="J5" s="170"/>
      <c r="K5" s="170"/>
      <c r="L5" s="170"/>
      <c r="M5" s="170"/>
      <c r="N5" s="170"/>
      <c r="O5" s="170"/>
      <c r="P5" s="170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84"/>
      <c r="F6" s="182"/>
      <c r="G6" s="131"/>
      <c r="H6" s="40"/>
      <c r="I6" s="182"/>
      <c r="J6" s="182"/>
      <c r="K6" s="182"/>
      <c r="L6" s="182"/>
      <c r="M6" s="182"/>
      <c r="N6" s="182"/>
      <c r="O6" s="182"/>
      <c r="P6" s="182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1"/>
      <c r="N7" s="181"/>
      <c r="O7" s="181"/>
      <c r="P7" s="181"/>
      <c r="Q7" s="131"/>
      <c r="R7" s="71"/>
      <c r="S7" s="43" t="s">
        <v>6</v>
      </c>
      <c r="T7" s="115"/>
      <c r="U7" s="70"/>
      <c r="V7" s="2"/>
      <c r="W7" s="2"/>
      <c r="X7" s="172" t="s">
        <v>1839</v>
      </c>
      <c r="Y7" s="176"/>
      <c r="Z7" s="176"/>
      <c r="AA7" s="176"/>
      <c r="AB7" s="176"/>
      <c r="AC7" s="176"/>
      <c r="AD7" s="176"/>
      <c r="AE7" s="177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51" t="s">
        <v>1837</v>
      </c>
      <c r="E8" s="151"/>
      <c r="F8" s="151"/>
      <c r="G8" s="70"/>
      <c r="H8" s="41"/>
      <c r="I8" s="163"/>
      <c r="J8" s="183"/>
      <c r="K8" s="164"/>
      <c r="L8" s="163"/>
      <c r="M8" s="164"/>
      <c r="N8" s="130"/>
      <c r="O8" s="163"/>
      <c r="P8" s="164"/>
      <c r="Q8" s="131"/>
      <c r="R8" s="38"/>
      <c r="S8" s="43" t="s">
        <v>7</v>
      </c>
      <c r="T8" s="115"/>
      <c r="U8" s="53"/>
      <c r="V8" s="2"/>
      <c r="W8" s="2"/>
      <c r="X8" s="178" t="s">
        <v>1840</v>
      </c>
      <c r="Y8" s="179"/>
      <c r="Z8" s="179"/>
      <c r="AA8" s="179"/>
      <c r="AB8" s="179"/>
      <c r="AC8" s="179"/>
      <c r="AD8" s="179"/>
      <c r="AE8" s="180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51" t="s">
        <v>1838</v>
      </c>
      <c r="E9" s="151"/>
      <c r="F9" s="151"/>
      <c r="G9" s="70"/>
      <c r="H9" s="41"/>
      <c r="I9" s="163"/>
      <c r="J9" s="183"/>
      <c r="K9" s="164"/>
      <c r="L9" s="163"/>
      <c r="M9" s="164"/>
      <c r="N9" s="130"/>
      <c r="O9" s="163"/>
      <c r="P9" s="164"/>
      <c r="Q9" s="131"/>
      <c r="R9" s="38"/>
      <c r="S9" s="43" t="s">
        <v>8</v>
      </c>
      <c r="T9" s="115"/>
      <c r="U9" s="70"/>
      <c r="V9" s="2"/>
      <c r="W9" s="2"/>
      <c r="X9" s="136">
        <v>43315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/>
      <c r="E10" s="32"/>
      <c r="F10" s="32"/>
      <c r="G10" s="70"/>
      <c r="H10" s="41"/>
      <c r="I10" s="152"/>
      <c r="J10" s="152"/>
      <c r="K10" s="152"/>
      <c r="L10" s="152"/>
      <c r="M10" s="152"/>
      <c r="N10" s="126"/>
      <c r="O10" s="152"/>
      <c r="P10" s="152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67"/>
      <c r="E11" s="168"/>
      <c r="F11" s="169"/>
      <c r="G11" s="53"/>
      <c r="H11" s="41"/>
      <c r="I11" s="152"/>
      <c r="J11" s="152"/>
      <c r="K11" s="152"/>
      <c r="L11" s="152"/>
      <c r="M11" s="152"/>
      <c r="N11" s="126"/>
      <c r="O11" s="152"/>
      <c r="P11" s="152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72"/>
      <c r="E13" s="173"/>
      <c r="F13" s="174"/>
      <c r="G13" s="114"/>
      <c r="H13" s="41"/>
      <c r="I13" s="162" t="s">
        <v>5</v>
      </c>
      <c r="J13" s="162"/>
      <c r="K13" s="162"/>
      <c r="L13" s="162"/>
      <c r="M13" s="162"/>
      <c r="N13" s="162"/>
      <c r="O13" s="162"/>
      <c r="P13" s="162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51" t="s">
        <v>1835</v>
      </c>
      <c r="E14" s="151"/>
      <c r="F14" s="151"/>
      <c r="G14" s="70"/>
      <c r="H14" s="41"/>
      <c r="I14" s="152"/>
      <c r="J14" s="152"/>
      <c r="K14" s="152"/>
      <c r="L14" s="152"/>
      <c r="M14" s="152"/>
      <c r="N14" s="152"/>
      <c r="O14" s="152"/>
      <c r="P14" s="152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 t="s">
        <v>1836</v>
      </c>
      <c r="E15" s="41"/>
      <c r="F15" s="41"/>
      <c r="G15" s="41"/>
      <c r="H15" s="41"/>
      <c r="I15" s="152"/>
      <c r="J15" s="152"/>
      <c r="K15" s="152"/>
      <c r="L15" s="152"/>
      <c r="M15" s="152"/>
      <c r="N15" s="152"/>
      <c r="O15" s="152"/>
      <c r="P15" s="152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53" t="s">
        <v>11</v>
      </c>
      <c r="D18" s="165" t="s">
        <v>9</v>
      </c>
      <c r="E18" s="153" t="s">
        <v>10</v>
      </c>
      <c r="F18" s="157" t="s">
        <v>1825</v>
      </c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158"/>
      <c r="AB18" s="158"/>
      <c r="AC18" s="158"/>
      <c r="AD18" s="158"/>
      <c r="AE18" s="158"/>
      <c r="AF18" s="158"/>
      <c r="AG18" s="158"/>
      <c r="AH18" s="158"/>
      <c r="AI18" s="159"/>
      <c r="AJ18" s="2"/>
      <c r="AK18" s="2"/>
    </row>
    <row r="19" spans="1:37" ht="46.5" customHeight="1" thickBot="1" x14ac:dyDescent="0.3">
      <c r="A19" s="2"/>
      <c r="B19" s="2"/>
      <c r="C19" s="154"/>
      <c r="D19" s="166"/>
      <c r="E19" s="154"/>
      <c r="F19" s="155" t="s">
        <v>1</v>
      </c>
      <c r="G19" s="155"/>
      <c r="H19" s="155"/>
      <c r="I19" s="155"/>
      <c r="J19" s="155"/>
      <c r="K19" s="156"/>
      <c r="L19" s="160" t="s">
        <v>13</v>
      </c>
      <c r="M19" s="155"/>
      <c r="N19" s="155"/>
      <c r="O19" s="155"/>
      <c r="P19" s="155"/>
      <c r="Q19" s="156"/>
      <c r="R19" s="160" t="s">
        <v>12</v>
      </c>
      <c r="S19" s="155"/>
      <c r="T19" s="155"/>
      <c r="U19" s="155"/>
      <c r="V19" s="155"/>
      <c r="W19" s="156"/>
      <c r="X19" s="185" t="s">
        <v>1826</v>
      </c>
      <c r="Y19" s="186"/>
      <c r="Z19" s="186"/>
      <c r="AA19" s="186"/>
      <c r="AB19" s="186"/>
      <c r="AC19" s="187"/>
      <c r="AD19" s="143" t="s">
        <v>14</v>
      </c>
      <c r="AE19" s="144"/>
      <c r="AF19" s="144"/>
      <c r="AG19" s="144"/>
      <c r="AH19" s="144"/>
      <c r="AI19" s="145"/>
      <c r="AJ19" s="2"/>
      <c r="AK19" s="2"/>
    </row>
    <row r="20" spans="1:37" ht="15.75" thickBot="1" x14ac:dyDescent="0.3">
      <c r="A20" s="2"/>
      <c r="B20" s="2"/>
      <c r="C20" s="154"/>
      <c r="D20" s="166"/>
      <c r="E20" s="154"/>
      <c r="F20" s="149" t="s">
        <v>2</v>
      </c>
      <c r="G20" s="149"/>
      <c r="H20" s="150"/>
      <c r="I20" s="148" t="s">
        <v>3</v>
      </c>
      <c r="J20" s="149"/>
      <c r="K20" s="150"/>
      <c r="L20" s="148" t="s">
        <v>2</v>
      </c>
      <c r="M20" s="149"/>
      <c r="N20" s="150"/>
      <c r="O20" s="148" t="s">
        <v>3</v>
      </c>
      <c r="P20" s="149"/>
      <c r="Q20" s="150"/>
      <c r="R20" s="148" t="s">
        <v>2</v>
      </c>
      <c r="S20" s="149"/>
      <c r="T20" s="150"/>
      <c r="U20" s="148" t="s">
        <v>3</v>
      </c>
      <c r="V20" s="149"/>
      <c r="W20" s="150"/>
      <c r="X20" s="148" t="s">
        <v>2</v>
      </c>
      <c r="Y20" s="149"/>
      <c r="Z20" s="150"/>
      <c r="AA20" s="148" t="s">
        <v>3</v>
      </c>
      <c r="AB20" s="149"/>
      <c r="AC20" s="150"/>
      <c r="AD20" s="148" t="s">
        <v>2</v>
      </c>
      <c r="AE20" s="149"/>
      <c r="AF20" s="150"/>
      <c r="AG20" s="148" t="s">
        <v>3</v>
      </c>
      <c r="AH20" s="149"/>
      <c r="AI20" s="150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1" t="s">
        <v>319</v>
      </c>
      <c r="D22" s="91" t="s">
        <v>1841</v>
      </c>
      <c r="E22" s="92" t="s">
        <v>1842</v>
      </c>
      <c r="F22" s="96">
        <v>2</v>
      </c>
      <c r="G22" s="96">
        <f>8+17.5+39+37+8+19+38.5+32</f>
        <v>199</v>
      </c>
      <c r="H22" s="94">
        <f>444.16+534.38+274.6+109.84+16.86+1.2+372+834.95+1813.5+1720.5</f>
        <v>6121.99</v>
      </c>
      <c r="I22" s="96"/>
      <c r="J22" s="96"/>
      <c r="K22" s="94"/>
      <c r="L22" s="97">
        <v>1</v>
      </c>
      <c r="M22" s="97">
        <f>20+5+38</f>
        <v>63</v>
      </c>
      <c r="N22" s="116">
        <f>1767+232.5+986.52</f>
        <v>2986.02</v>
      </c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">
      <c r="A23" s="2"/>
      <c r="B23" s="2"/>
      <c r="C23" s="33"/>
      <c r="D23" s="33"/>
      <c r="E23" s="92" t="str">
        <f>IF(ISERROR(VLOOKUP(D23,Sheet3!$A$2:$B$821,2,FALSE)),"",(VLOOKUP(D23,Sheet3!$A$2:$B$821,2,FALSE)))</f>
        <v/>
      </c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.75" thickBot="1" x14ac:dyDescent="0.3">
      <c r="A38" s="2"/>
      <c r="B38" s="2"/>
      <c r="C38" s="175"/>
      <c r="D38" s="175"/>
      <c r="E38" s="175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46"/>
      <c r="T38" s="146"/>
      <c r="U38" s="147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.75" thickBot="1" x14ac:dyDescent="0.3">
      <c r="A39" s="2"/>
      <c r="B39" s="2"/>
      <c r="C39" s="127"/>
      <c r="D39" s="127"/>
      <c r="E39" s="68"/>
      <c r="F39" s="95">
        <f>SUM(F22:F37)</f>
        <v>2</v>
      </c>
      <c r="G39" s="95">
        <f>SUM(G22:G37)</f>
        <v>199</v>
      </c>
      <c r="H39" s="113">
        <f>SUM(H22:H37)</f>
        <v>6121.99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1</v>
      </c>
      <c r="M39" s="95">
        <f t="shared" si="0"/>
        <v>63</v>
      </c>
      <c r="N39" s="113">
        <f>SUM(N22:N37)</f>
        <v>2986.02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2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1"/>
      <c r="D42" s="161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37" t="s">
        <v>1829</v>
      </c>
      <c r="D43" s="138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39"/>
      <c r="D44" s="140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39"/>
      <c r="D45" s="140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39"/>
      <c r="D46" s="140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41"/>
      <c r="D47" s="142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 xr:uid="{00000000-0002-0000-0000-000000000000}">
      <formula1>JobCode</formula1>
    </dataValidation>
    <dataValidation type="list" allowBlank="1" showInputMessage="1" showErrorMessage="1" prompt="Please Select from Drop Down List" sqref="D22:D37" xr:uid="{00000000-0002-0000-0000-000001000000}">
      <formula1>INDIRECT(C22)</formula1>
    </dataValidation>
  </dataValidations>
  <printOptions horizontalCentered="1" verticalCentered="1"/>
  <pageMargins left="0.2" right="0.2" top="0.25" bottom="0.25" header="0.3" footer="0.3"/>
  <pageSetup paperSize="5" scale="4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304800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25</xdr:col>
                    <xdr:colOff>514350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 xr:uid="{00000000-0002-0000-0000-000002000000}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 xr:uid="{00000000-0002-0000-0000-000003000000}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4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4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45" x14ac:dyDescent="0.25">
      <c r="D47" s="9"/>
      <c r="E47" s="11"/>
      <c r="F47" s="14"/>
      <c r="G47" s="17" t="s">
        <v>197</v>
      </c>
      <c r="H47" s="21" t="s">
        <v>78</v>
      </c>
    </row>
    <row r="48" spans="3:9" ht="4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4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56.2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33.7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ht="22.5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33.7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ht="22.5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ht="22.5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33.7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ht="22.5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4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ht="22.5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ht="22.5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33.7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ht="22.5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ht="22.5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 xr:uid="{00000000-0004-0000-0300-000000000000}"/>
    <hyperlink ref="A5" r:id="rId2" display="http://www.p12.nysed.gov/repcrd2005/links/c02_dist.shtml" xr:uid="{00000000-0004-0000-0300-000001000000}"/>
    <hyperlink ref="A6" r:id="rId3" display="http://www.p12.nysed.gov/repcrd2005/links/c32_schl.shtml" xr:uid="{00000000-0004-0000-0300-000002000000}"/>
    <hyperlink ref="A7" r:id="rId4" display="http://www.p12.nysed.gov/repcrd2005/links/c03_dist.shtml" xr:uid="{00000000-0004-0000-0300-000003000000}"/>
    <hyperlink ref="A8" r:id="rId5" display="http://www.p12.nysed.gov/repcrd2005/links/c04_dist.shtml" xr:uid="{00000000-0004-0000-0300-000004000000}"/>
    <hyperlink ref="A9" r:id="rId6" display="http://www.p12.nysed.gov/repcrd2005/links/c05_dist.shtml" xr:uid="{00000000-0004-0000-0300-000005000000}"/>
    <hyperlink ref="A10" r:id="rId7" display="http://www.p12.nysed.gov/repcrd2005/links/c06_dist.shtml" xr:uid="{00000000-0004-0000-0300-000006000000}"/>
    <hyperlink ref="A11" r:id="rId8" display="http://www.p12.nysed.gov/repcrd2005/links/c07_dist.shtml" xr:uid="{00000000-0004-0000-0300-000007000000}"/>
    <hyperlink ref="A12" r:id="rId9" display="http://www.p12.nysed.gov/repcrd2005/links/c08_dist.shtml" xr:uid="{00000000-0004-0000-0300-000008000000}"/>
    <hyperlink ref="A13" r:id="rId10" display="http://www.p12.nysed.gov/repcrd2005/links/c09_dist.shtml" xr:uid="{00000000-0004-0000-0300-000009000000}"/>
    <hyperlink ref="A14" r:id="rId11" display="http://www.p12.nysed.gov/repcrd2005/links/c10_dist.shtml" xr:uid="{00000000-0004-0000-0300-00000A000000}"/>
    <hyperlink ref="A15" r:id="rId12" display="http://www.p12.nysed.gov/repcrd2005/links/c11_dist.shtml" xr:uid="{00000000-0004-0000-0300-00000B000000}"/>
    <hyperlink ref="A16" r:id="rId13" display="http://www.p12.nysed.gov/repcrd2005/links/c12_dist.shtml" xr:uid="{00000000-0004-0000-0300-00000C000000}"/>
    <hyperlink ref="A17" r:id="rId14" display="http://www.p12.nysed.gov/repcrd2005/links/c13_dist.shtml" xr:uid="{00000000-0004-0000-0300-00000D000000}"/>
    <hyperlink ref="A18" r:id="rId15" display="http://www.p12.nysed.gov/repcrd2005/links/c14_dist.shtml" xr:uid="{00000000-0004-0000-0300-00000E000000}"/>
    <hyperlink ref="A19" r:id="rId16" display="http://www.p12.nysed.gov/repcrd2005/links/c15_dist.shtml" xr:uid="{00000000-0004-0000-0300-00000F000000}"/>
    <hyperlink ref="A20" r:id="rId17" display="http://www.p12.nysed.gov/repcrd2005/links/c16_dist.shtml" xr:uid="{00000000-0004-0000-0300-000010000000}"/>
    <hyperlink ref="A21" r:id="rId18" display="http://www.p12.nysed.gov/repcrd2005/links/c17_dist.shtml" xr:uid="{00000000-0004-0000-0300-000011000000}"/>
    <hyperlink ref="A22" r:id="rId19" display="http://www.p12.nysed.gov/repcrd2005/links/c18_dist.shtml" xr:uid="{00000000-0004-0000-0300-000012000000}"/>
    <hyperlink ref="A23" r:id="rId20" display="http://www.p12.nysed.gov/repcrd2005/links/c19_dist.shtml" xr:uid="{00000000-0004-0000-0300-000013000000}"/>
    <hyperlink ref="A24" r:id="rId21" display="http://www.p12.nysed.gov/repcrd2005/links/c20_dist.shtml" xr:uid="{00000000-0004-0000-0300-000014000000}"/>
    <hyperlink ref="A25" r:id="rId22" display="http://www.p12.nysed.gov/repcrd2005/links/c21_dist.shtml" xr:uid="{00000000-0004-0000-0300-000015000000}"/>
    <hyperlink ref="A26" r:id="rId23" display="http://www.p12.nysed.gov/repcrd2005/links/c22_dist.shtml" xr:uid="{00000000-0004-0000-0300-000016000000}"/>
    <hyperlink ref="A27" r:id="rId24" display="http://www.p12.nysed.gov/repcrd2005/links/c33_schl.shtml" xr:uid="{00000000-0004-0000-0300-000017000000}"/>
    <hyperlink ref="A28" r:id="rId25" display="http://www.p12.nysed.gov/repcrd2005/links/c23_dist.shtml" xr:uid="{00000000-0004-0000-0300-000018000000}"/>
    <hyperlink ref="A29" r:id="rId26" display="http://www.p12.nysed.gov/repcrd2005/links/c24_dist.shtml" xr:uid="{00000000-0004-0000-0300-000019000000}"/>
    <hyperlink ref="A30" r:id="rId27" display="http://www.p12.nysed.gov/repcrd2005/links/c25_dist.shtml" xr:uid="{00000000-0004-0000-0300-00001A000000}"/>
    <hyperlink ref="A31" r:id="rId28" display="http://www.p12.nysed.gov/repcrd2005/links/c26_dist.shtml" xr:uid="{00000000-0004-0000-0300-00001B000000}"/>
    <hyperlink ref="A32" r:id="rId29" display="http://www.p12.nysed.gov/repcrd2005/links/c27_dist.shtml" xr:uid="{00000000-0004-0000-0300-00001C000000}"/>
    <hyperlink ref="A33" r:id="rId30" display="http://www.p12.nysed.gov/repcrd2005/links/c28_dist.shtml" xr:uid="{00000000-0004-0000-0300-00001D000000}"/>
    <hyperlink ref="A34" r:id="rId31" display="http://www.p12.nysed.gov/repcrd2005/links/c31_schl.shtml" xr:uid="{00000000-0004-0000-0300-00001E000000}"/>
    <hyperlink ref="A35" r:id="rId32" display="http://www.p12.nysed.gov/repcrd2005/links/c40_dist.shtml" xr:uid="{00000000-0004-0000-0300-00001F000000}"/>
    <hyperlink ref="A36" r:id="rId33" display="http://www.p12.nysed.gov/repcrd2005/links/c41_dist.shtml" xr:uid="{00000000-0004-0000-0300-000020000000}"/>
    <hyperlink ref="A37" r:id="rId34" display="http://www.p12.nysed.gov/repcrd2005/links/c42_dist.shtml" xr:uid="{00000000-0004-0000-0300-000021000000}"/>
    <hyperlink ref="A38" r:id="rId35" display="http://www.p12.nysed.gov/repcrd2005/links/c43_dist.shtml" xr:uid="{00000000-0004-0000-0300-000022000000}"/>
    <hyperlink ref="A39" r:id="rId36" display="http://www.p12.nysed.gov/repcrd2005/links/c44_dist.shtml" xr:uid="{00000000-0004-0000-0300-000023000000}"/>
    <hyperlink ref="A40" r:id="rId37" display="http://www.p12.nysed.gov/repcrd2005/links/c45_dist.shtml" xr:uid="{00000000-0004-0000-0300-000024000000}"/>
    <hyperlink ref="A41" r:id="rId38" display="http://www.p12.nysed.gov/repcrd2005/links/c46_dist.shtml" xr:uid="{00000000-0004-0000-0300-000025000000}"/>
    <hyperlink ref="A42" r:id="rId39" display="http://www.p12.nysed.gov/repcrd2005/links/c47_dist.shtml" xr:uid="{00000000-0004-0000-0300-000026000000}"/>
    <hyperlink ref="A43" r:id="rId40" display="http://www.p12.nysed.gov/repcrd2005/links/c48_dist.shtml" xr:uid="{00000000-0004-0000-0300-000027000000}"/>
    <hyperlink ref="A44" r:id="rId41" display="http://www.p12.nysed.gov/repcrd2005/links/c34_schl.shtml" xr:uid="{00000000-0004-0000-0300-000028000000}"/>
    <hyperlink ref="A45" r:id="rId42" display="http://www.p12.nysed.gov/repcrd2005/links/c49_dist.shtml" xr:uid="{00000000-0004-0000-0300-000029000000}"/>
    <hyperlink ref="A46" r:id="rId43" display="http://www.p12.nysed.gov/repcrd2005/links/c35_schl.shtml" xr:uid="{00000000-0004-0000-0300-00002A000000}"/>
    <hyperlink ref="A47" r:id="rId44" display="http://www.p12.nysed.gov/repcrd2005/links/c50_dist.shtml" xr:uid="{00000000-0004-0000-0300-00002B000000}"/>
    <hyperlink ref="A48" r:id="rId45" display="http://www.p12.nysed.gov/repcrd2005/links/c51_dist.shtml" xr:uid="{00000000-0004-0000-0300-00002C000000}"/>
    <hyperlink ref="A49" r:id="rId46" display="http://www.p12.nysed.gov/repcrd2005/links/c52_dist.shtml" xr:uid="{00000000-0004-0000-0300-00002D000000}"/>
    <hyperlink ref="A50" r:id="rId47" display="http://www.p12.nysed.gov/repcrd2005/links/c53_dist.shtml" xr:uid="{00000000-0004-0000-0300-00002E000000}"/>
    <hyperlink ref="A51" r:id="rId48" display="http://www.p12.nysed.gov/repcrd2005/links/c54_dist.shtml" xr:uid="{00000000-0004-0000-0300-00002F000000}"/>
    <hyperlink ref="A52" r:id="rId49" display="http://www.p12.nysed.gov/repcrd2005/links/c55_dist.shtml" xr:uid="{00000000-0004-0000-0300-000030000000}"/>
    <hyperlink ref="A53" r:id="rId50" display="http://www.p12.nysed.gov/repcrd2005/links/c56_dist.shtml" xr:uid="{00000000-0004-0000-0300-000031000000}"/>
    <hyperlink ref="A54" r:id="rId51" display="http://www.p12.nysed.gov/repcrd2005/links/c57_dist.shtml" xr:uid="{00000000-0004-0000-0300-000032000000}"/>
    <hyperlink ref="A55" r:id="rId52" display="http://www.p12.nysed.gov/repcrd2005/links/c58_dist.shtml" xr:uid="{00000000-0004-0000-0300-000033000000}"/>
    <hyperlink ref="A56" r:id="rId53" display="http://www.p12.nysed.gov/repcrd2005/links/c59_dist.shtml" xr:uid="{00000000-0004-0000-0300-000034000000}"/>
    <hyperlink ref="A57" r:id="rId54" display="http://www.p12.nysed.gov/repcrd2005/links/c60_dist.shtml" xr:uid="{00000000-0004-0000-0300-000035000000}"/>
    <hyperlink ref="A58" r:id="rId55" display="http://www.p12.nysed.gov/repcrd2005/links/c61_dist.shtml" xr:uid="{00000000-0004-0000-0300-000036000000}"/>
    <hyperlink ref="A59" r:id="rId56" display="http://www.p12.nysed.gov/repcrd2005/links/c62_dist.shtml" xr:uid="{00000000-0004-0000-0300-000037000000}"/>
    <hyperlink ref="A60" r:id="rId57" display="http://www.p12.nysed.gov/repcrd2005/links/c63_dist.shtml" xr:uid="{00000000-0004-0000-0300-000038000000}"/>
    <hyperlink ref="A61" r:id="rId58" display="http://www.p12.nysed.gov/repcrd2005/links/c64_dist.shtml" xr:uid="{00000000-0004-0000-0300-000039000000}"/>
    <hyperlink ref="A62" r:id="rId59" display="http://www.p12.nysed.gov/repcrd2005/links/c65_dist.shtml" xr:uid="{00000000-0004-0000-0300-00003A000000}"/>
    <hyperlink ref="A63" r:id="rId60" display="http://www.p12.nysed.gov/repcrd2005/links/c66_dist.shtml" xr:uid="{00000000-0004-0000-0300-00003B000000}"/>
    <hyperlink ref="A64" r:id="rId61" display="http://www.p12.nysed.gov/repcrd2005/links/c67_dist.shtml" xr:uid="{00000000-0004-0000-0300-00003C000000}"/>
    <hyperlink ref="A65" r:id="rId62" display="http://www.p12.nysed.gov/repcrd2005/links/c68_dist.shtml" xr:uid="{00000000-0004-0000-0300-00003D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Accounting</cp:lastModifiedBy>
  <cp:lastPrinted>2018-03-13T18:31:28Z</cp:lastPrinted>
  <dcterms:created xsi:type="dcterms:W3CDTF">2016-01-07T15:16:02Z</dcterms:created>
  <dcterms:modified xsi:type="dcterms:W3CDTF">2018-08-08T20:16:52Z</dcterms:modified>
</cp:coreProperties>
</file>