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G:\VALERIE\Project Forms\1736 NYS Fairgrounds\"/>
    </mc:Choice>
  </mc:AlternateContent>
  <xr:revisionPtr revIDLastSave="0" documentId="13_ncr:1_{5E352A0E-9DD3-49B1-B096-EFF39210B00F}" xr6:coauthVersionLast="34" xr6:coauthVersionMax="34" xr10:uidLastSave="{00000000-0000-0000-0000-000000000000}"/>
  <bookViews>
    <workbookView xWindow="0" yWindow="0" windowWidth="20430" windowHeight="747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<sst xmlns="http://schemas.openxmlformats.org/spreadsheetml/2006/main" count="2108" uniqueCount="1846">
  <si>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</si>
  <si>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</si>
  <si>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</si>
  <si>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</si>
  <si>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</si>
  <si>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</si>
  <si>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</si>
  <si>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</si>
  <si>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</si>
  <si>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</si>
  <si>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</si>
  <si>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</si>
  <si>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</si>
  <si>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</si>
  <si>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</si>
  <si>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</si>
  <si>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</si>
  <si>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</si>
  <si>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</si>
  <si>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</si>
  <si>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</si>
  <si>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</si>
  <si>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</si>
  <si>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</si>
  <si>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</si>
  <si>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</si>
  <si>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</si>
  <si>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</si>
  <si>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</si>
  <si>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</si>
  <si>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</si>
  <si>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</si>
  <si>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</si>
  <si>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</si>
  <si>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</si>
  <si>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</si>
  <si>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</si>
  <si>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</si>
  <si>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</si>
  <si>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</si>
  <si>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</si>
  <si>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</si>
  <si>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</si>
  <si>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</si>
  <si>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</si>
  <si>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</si>
  <si>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</si>
  <si>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</si>
  <si>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</si>
  <si>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</si>
  <si>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</si>
  <si>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</si>
  <si>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</si>
  <si>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</si>
  <si>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</si>
  <si>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</si>
  <si>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</si>
  <si>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</si>
  <si>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</si>
  <si>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</si>
  <si>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</si>
  <si>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</si>
  <si>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</si>
  <si>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</si>
  <si>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</si>
  <si>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</si>
  <si>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</si>
  <si>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</si>
  <si>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</si>
  <si>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</si>
  <si>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</si>
  <si>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</si>
  <si>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</si>
  <si>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</si>
  <si>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</si>
  <si>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</si>
  <si>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</si>
  <si>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</si>
  <si>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</si>
  <si>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</si>
  <si>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</si>
  <si>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</si>
  <si>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</si>
  <si>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</si>
  <si>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</si>
  <si>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</si>
  <si>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</si>
  <si>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</si>
  <si>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</si>
  <si>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</si>
  <si>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</si>
  <si>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</si>
  <si>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</si>
  <si>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</si>
  <si>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</si>
  <si>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</si>
  <si>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</si>
  <si>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</si>
  <si>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</si>
  <si>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</si>
  <si>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</si>
  <si>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</si>
  <si>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</si>
  <si>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</si>
  <si>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</si>
  <si>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</si>
  <si>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</si>
  <si>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</si>
  <si>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</si>
  <si>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</si>
  <si>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</si>
  <si>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</si>
  <si>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</si>
  <si>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</si>
  <si>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</si>
  <si>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</si>
  <si>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</si>
  <si>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</si>
  <si>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</si>
  <si>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</si>
  <si>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</si>
  <si>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</si>
  <si>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</si>
  <si>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</si>
  <si>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</si>
  <si>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</si>
  <si>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</si>
  <si>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</si>
  <si>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</si>
  <si>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</si>
  <si>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</si>
  <si>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</si>
  <si>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</si>
  <si>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</si>
  <si>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</si>
  <si>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</si>
  <si>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</si>
  <si>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</si>
  <si>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</si>
  <si>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</si>
  <si>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</si>
  <si>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</si>
  <si>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</si>
  <si>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</si>
  <si>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</si>
  <si>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</si>
  <si>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</si>
  <si>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</si>
  <si>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</si>
  <si>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</si>
  <si>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</si>
  <si>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</si>
  <si>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</si>
  <si>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</si>
  <si>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</si>
  <si>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</si>
  <si>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</si>
  <si>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</si>
  <si>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</si>
  <si>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</si>
  <si>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</si>
  <si>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</si>
  <si>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</si>
  <si>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</si>
  <si>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</si>
  <si>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</si>
  <si>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</si>
  <si>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</si>
  <si>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</si>
  <si>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</si>
  <si>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</si>
  <si>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</si>
  <si>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</si>
  <si>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</si>
  <si>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</si>
  <si>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</si>
  <si>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</si>
  <si>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</si>
  <si>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</si>
  <si>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</si>
  <si>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</si>
  <si>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</si>
  <si>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</si>
  <si>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</si>
  <si>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</si>
  <si>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</si>
  <si>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</si>
  <si>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</si>
  <si>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</si>
  <si>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</si>
  <si>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</si>
  <si>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</si>
  <si>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</si>
  <si>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</si>
  <si>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</si>
  <si>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</si>
  <si>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</si>
  <si>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</si>
  <si>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</si>
  <si>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</si>
  <si>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</si>
  <si>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</si>
  <si>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</si>
  <si>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</si>
  <si>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</si>
  <si>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</si>
  <si>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</si>
  <si>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</si>
  <si>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</si>
  <si>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</si>
  <si>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</si>
  <si>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</si>
  <si>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</si>
  <si>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</si>
  <si>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</si>
  <si>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</si>
  <si>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</si>
  <si>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</si>
  <si>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</si>
  <si>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</si>
  <si>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</si>
  <si>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</si>
  <si>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</si>
  <si>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</si>
  <si>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</si>
  <si>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</si>
  <si>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</si>
  <si>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</si>
  <si>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</si>
  <si>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</si>
  <si>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</si>
  <si>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</si>
  <si>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</si>
  <si>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</si>
  <si>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</si>
  <si>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</si>
  <si>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</si>
  <si>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</si>
  <si>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</si>
  <si>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</si>
  <si>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</si>
  <si>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</si>
  <si>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</si>
  <si>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</si>
  <si>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</si>
  <si>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</si>
  <si>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</si>
  <si>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</si>
  <si>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</si>
  <si>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</si>
  <si>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</si>
  <si>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</si>
  <si>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</si>
  <si>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</si>
  <si>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</si>
  <si>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</si>
  <si>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</si>
  <si>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</si>
  <si>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</si>
  <si>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</si>
  <si>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</si>
  <si>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</si>
  <si>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</si>
  <si>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</si>
  <si>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</si>
  <si>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</si>
  <si>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</si>
  <si>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</si>
  <si>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</si>
  <si>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</si>
  <si>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</si>
  <si>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</si>
  <si>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</si>
  <si>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</si>
  <si>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</si>
  <si>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</si>
  <si>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</si>
  <si>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</si>
  <si>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</si>
  <si>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</si>
  <si>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</si>
  <si>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</si>
  <si>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</si>
  <si>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</si>
  <si>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</si>
  <si>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</si>
  <si>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</si>
  <si>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</si>
  <si>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</si>
  <si>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</si>
  <si>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</si>
  <si>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</si>
  <si>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</si>
  <si>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</si>
  <si>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</si>
  <si>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</si>
  <si>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</si>
  <si>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</si>
  <si>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</si>
  <si>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</si>
  <si>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</si>
  <si>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</si>
  <si>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</si>
  <si>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</si>
  <si>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</si>
  <si>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</si>
  <si>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</si>
  <si>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</si>
  <si>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</si>
  <si>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</si>
  <si>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</si>
  <si>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</si>
  <si>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</si>
  <si>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</si>
  <si>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</si>
  <si>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</si>
  <si>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</si>
  <si>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</si>
  <si>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</si>
  <si>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</si>
  <si>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</si>
  <si>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</si>
  <si>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</si>
  <si>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</si>
  <si>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</si>
  <si>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</si>
  <si>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</si>
  <si>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</si>
  <si>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</si>
  <si>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</si>
  <si>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</si>
  <si>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</si>
  <si>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</si>
  <si>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</si>
  <si>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</si>
  <si>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</si>
  <si>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</si>
  <si>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</si>
  <si>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</si>
  <si>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</si>
  <si>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</si>
  <si>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</si>
  <si>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</si>
  <si>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</si>
  <si>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</si>
  <si>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</si>
  <si>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</si>
  <si>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</si>
  <si>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</si>
  <si>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</si>
  <si>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</si>
  <si>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</si>
  <si>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</si>
  <si>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</si>
  <si>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</si>
  <si>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</si>
  <si>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</si>
  <si>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</si>
  <si>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</si>
  <si>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</si>
  <si>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</si>
  <si>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</si>
  <si>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</si>
  <si>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</si>
  <si>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</si>
  <si>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</si>
  <si>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</si>
  <si>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</si>
  <si>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</si>
  <si>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</si>
  <si>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</si>
  <si>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</si>
  <si>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</si>
  <si>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</si>
  <si>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</si>
  <si>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</si>
  <si>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</si>
  <si>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</si>
  <si>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</si>
  <si>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</si>
  <si>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</si>
  <si>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</si>
  <si>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</si>
  <si>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</si>
  <si>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</si>
  <si>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</si>
  <si>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</si>
  <si>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</si>
  <si>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</si>
  <si>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</si>
  <si>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</si>
  <si>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</si>
  <si>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</si>
  <si>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</si>
  <si>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</si>
  <si>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</si>
  <si>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</si>
  <si>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</si>
  <si>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</si>
  <si>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</si>
  <si>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</si>
  <si>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</si>
  <si>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</si>
  <si>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</si>
  <si>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</si>
  <si>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</si>
  <si>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</si>
  <si>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</si>
  <si>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</si>
  <si>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</si>
  <si>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</si>
  <si>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</si>
  <si>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</si>
  <si>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</si>
  <si>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</si>
  <si>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</si>
  <si>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</si>
  <si>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</si>
  <si>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</si>
  <si>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</si>
  <si>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</si>
  <si>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</si>
  <si>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</si>
  <si>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</si>
  <si>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</si>
  <si>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</si>
  <si>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</si>
  <si>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</si>
  <si>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</si>
  <si>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</si>
  <si>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</si>
  <si>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</si>
  <si>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</si>
  <si>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</si>
  <si>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</si>
  <si>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</si>
  <si>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</si>
  <si>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</si>
  <si>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</si>
  <si>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</si>
  <si>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</si>
  <si>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</si>
  <si>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</si>
  <si>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</si>
  <si>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</si>
  <si>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</si>
  <si>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</si>
  <si>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</si>
  <si>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</si>
  <si>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</si>
  <si>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</si>
  <si>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</si>
  <si>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</si>
  <si>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</si>
  <si>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</si>
  <si>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</si>
  <si>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</si>
  <si>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</si>
  <si>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</si>
  <si>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</si>
  <si>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</si>
  <si>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</si>
  <si>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</si>
  <si>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</si>
  <si>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</si>
  <si>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</si>
  <si>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</si>
  <si>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</si>
  <si>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</si>
  <si>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</si>
  <si>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</si>
  <si>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</si>
  <si>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</si>
  <si>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</si>
  <si>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</si>
  <si>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</si>
  <si>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</si>
  <si>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</si>
  <si>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</si>
  <si>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</si>
  <si>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</si>
  <si>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</si>
  <si>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</si>
  <si>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</si>
  <si>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</si>
  <si>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</si>
  <si>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</si>
  <si>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</si>
  <si>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</si>
  <si>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</si>
  <si>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</si>
  <si>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</si>
  <si>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</si>
  <si>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</si>
  <si>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</si>
  <si>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</si>
  <si>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</si>
  <si>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</si>
  <si>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</si>
  <si>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</si>
  <si>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</si>
  <si>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</si>
  <si>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</si>
  <si>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</si>
  <si>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</si>
  <si>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</si>
  <si>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</si>
  <si>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</si>
  <si>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</si>
  <si>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</si>
  <si>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</si>
  <si>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</si>
  <si>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</si>
  <si>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</si>
  <si>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</si>
  <si>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</si>
  <si>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</si>
  <si>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</si>
  <si>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</si>
  <si>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</si>
  <si>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</si>
  <si>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</si>
  <si>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</si>
  <si>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</si>
  <si>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</si>
  <si>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</si>
  <si>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</si>
  <si>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</si>
  <si>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</si>
  <si>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</si>
  <si>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</si>
  <si>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</si>
  <si>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</si>
  <si>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</si>
  <si>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</si>
  <si>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</si>
  <si>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</si>
  <si>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</si>
  <si>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</si>
  <si>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</si>
  <si>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</si>
  <si>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</si>
  <si>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</si>
  <si>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</si>
  <si>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</si>
  <si>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</si>
  <si>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</si>
  <si>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</si>
  <si>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</si>
  <si>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</si>
  <si>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</si>
  <si>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</si>
  <si>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</si>
  <si>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</si>
  <si>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</si>
  <si>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</si>
  <si>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</si>
  <si>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</si>
  <si>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</si>
  <si>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</si>
  <si>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</si>
  <si>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</si>
  <si>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</si>
  <si>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</si>
  <si>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</si>
  <si>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</si>
  <si>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</si>
  <si>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</si>
  <si>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</si>
  <si>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</si>
  <si>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</si>
  <si>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</si>
  <si>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</si>
  <si>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</si>
  <si>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</si>
  <si>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</si>
  <si>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</si>
  <si>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</si>
  <si>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</si>
  <si>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</si>
  <si>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</si>
  <si>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</si>
  <si>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</si>
  <si>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</si>
  <si>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</si>
  <si>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</si>
  <si>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</si>
  <si>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</si>
  <si>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</si>
  <si>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</si>
  <si>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</si>
  <si>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</si>
  <si>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</si>
  <si>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</si>
  <si>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</si>
  <si>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</si>
  <si>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</si>
  <si>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</si>
  <si>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</si>
  <si>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</si>
  <si>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</si>
  <si>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</si>
  <si>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</si>
  <si>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</si>
  <si>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</si>
  <si>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</si>
  <si>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</si>
  <si>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</si>
  <si>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</si>
  <si>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</si>
  <si>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</si>
  <si>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</si>
  <si>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</si>
  <si>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</si>
  <si>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</si>
  <si>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</si>
  <si>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</si>
  <si>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</si>
  <si>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</si>
  <si>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</si>
  <si>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</si>
  <si>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</si>
  <si>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</si>
  <si>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</si>
  <si>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</si>
  <si>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</si>
  <si>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</si>
  <si>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</si>
  <si>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</si>
  <si>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</si>
  <si>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</si>
  <si>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</si>
  <si>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</si>
  <si>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</si>
  <si>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</si>
  <si>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</si>
  <si>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</si>
  <si>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</si>
  <si>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</si>
  <si>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</si>
  <si>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</si>
  <si>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</si>
  <si>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</si>
  <si>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</si>
  <si>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</si>
  <si>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</si>
  <si>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</si>
  <si>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</si>
  <si>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</si>
  <si>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</si>
  <si>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</si>
  <si>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</si>
  <si>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</si>
  <si>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</si>
  <si>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</si>
  <si>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</si>
  <si>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</si>
  <si>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</si>
  <si>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</si>
  <si>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</si>
  <si>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</si>
  <si>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</si>
  <si>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</si>
  <si>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</si>
  <si>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</si>
  <si>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</si>
  <si>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</si>
  <si>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</si>
  <si>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</si>
  <si>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</si>
  <si>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</si>
  <si>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</si>
  <si>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</si>
  <si>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</si>
  <si>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</si>
  <si>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</si>
  <si>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</si>
  <si>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</si>
  <si>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</si>
  <si>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</si>
  <si>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</si>
  <si>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</si>
  <si>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</si>
  <si>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</si>
  <si>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</si>
  <si>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</si>
  <si>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</si>
  <si>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</si>
  <si>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</si>
  <si>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</si>
  <si>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</si>
  <si>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</si>
  <si>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</si>
  <si>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</si>
  <si>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</si>
  <si>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</si>
  <si>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</si>
  <si>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</si>
  <si>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</si>
  <si>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</si>
  <si>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</si>
  <si>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</si>
  <si>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</si>
  <si>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</si>
  <si>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</si>
  <si>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</si>
  <si>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</si>
  <si>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</si>
  <si>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</si>
  <si>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</si>
  <si>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</si>
  <si>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</si>
  <si>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</si>
  <si>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</si>
  <si>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</si>
  <si>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</si>
  <si>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</si>
  <si>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</si>
  <si>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</si>
  <si>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</si>
  <si>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</si>
  <si>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</si>
  <si>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</si>
  <si>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</si>
  <si>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</si>
  <si>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</si>
  <si>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</si>
  <si>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</si>
  <si>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</si>
  <si>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</si>
  <si>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</si>
  <si>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</si>
  <si>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</si>
  <si>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</si>
  <si>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</si>
  <si>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</si>
  <si>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</si>
  <si>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</si>
  <si>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</si>
  <si>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</si>
  <si>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</si>
  <si>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</si>
  <si>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</si>
  <si>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</si>
  <si>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</si>
  <si>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</si>
  <si>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</si>
  <si>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</si>
  <si>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</si>
  <si>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</si>
  <si>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</si>
  <si>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</si>
  <si>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</si>
  <si>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</si>
  <si>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</si>
  <si>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</si>
  <si>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</si>
  <si>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</si>
  <si>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</si>
  <si>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</si>
  <si>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</si>
  <si>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</si>
  <si>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</si>
  <si>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</si>
  <si>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</si>
  <si>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</si>
  <si>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</si>
  <si>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</si>
  <si>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</si>
  <si>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</si>
  <si>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</si>
  <si>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</si>
  <si>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</si>
  <si>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</si>
  <si>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</si>
  <si>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</si>
  <si>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</si>
  <si>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</si>
  <si>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</si>
  <si>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</si>
  <si>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</si>
  <si>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</si>
  <si>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</si>
  <si>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</si>
  <si>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</si>
  <si>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</si>
  <si>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</si>
  <si>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</si>
  <si>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</si>
  <si>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</si>
  <si>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</si>
  <si>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</si>
  <si>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</si>
  <si>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</si>
  <si>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</si>
  <si>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</si>
  <si>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</si>
  <si>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</si>
  <si>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</si>
  <si>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</si>
  <si>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</si>
  <si>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</si>
  <si>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</si>
  <si>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</si>
  <si>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</si>
  <si>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</si>
  <si>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</si>
  <si>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</si>
  <si>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</si>
  <si>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</si>
  <si>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</si>
  <si>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</si>
  <si>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</si>
  <si>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</si>
  <si>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</si>
  <si>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</si>
  <si>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</si>
  <si>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</si>
  <si>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</si>
  <si>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</si>
  <si>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</si>
  <si>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</si>
  <si>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</si>
  <si>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</si>
  <si>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</si>
  <si>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</si>
  <si>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</si>
  <si>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</si>
  <si>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</si>
  <si>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</si>
  <si>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</si>
  <si>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</si>
  <si>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</si>
  <si>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</si>
  <si>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</si>
  <si>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</si>
  <si>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</si>
  <si>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</si>
  <si>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</si>
  <si>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</si>
  <si>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</si>
  <si>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</si>
  <si>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</si>
  <si>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</si>
  <si>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</si>
  <si>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</si>
  <si>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</si>
  <si>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</si>
  <si>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</si>
  <si>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</si>
  <si>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</si>
  <si>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</si>
  <si>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</si>
  <si>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</si>
  <si>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</si>
  <si>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</si>
  <si>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</si>
  <si>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</si>
  <si>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</si>
  <si>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</si>
  <si>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</si>
  <si>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</si>
  <si>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</si>
  <si>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</si>
  <si>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</si>
  <si>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</si>
  <si>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</si>
  <si>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</si>
  <si>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</si>
  <si>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</si>
  <si>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</si>
  <si>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</si>
  <si>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</si>
  <si>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</si>
  <si>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</si>
  <si>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</si>
  <si>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</si>
  <si>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</si>
  <si>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</si>
  <si>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</si>
  <si>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</si>
  <si>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</si>
  <si>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</si>
  <si>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</si>
  <si>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</si>
  <si>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</si>
  <si>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</si>
  <si>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</si>
  <si>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</si>
  <si>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</si>
  <si>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</si>
  <si>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</si>
  <si>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</si>
  <si>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</si>
  <si>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</si>
  <si>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</si>
  <si>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</si>
  <si>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</si>
  <si>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</si>
  <si>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</si>
  <si>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</si>
  <si>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</si>
  <si>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</si>
  <si>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</si>
  <si>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</si>
  <si>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</si>
  <si>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</si>
  <si>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</si>
  <si>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</si>
  <si>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</si>
  <si>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</si>
  <si>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</si>
  <si>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</si>
  <si>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</si>
  <si>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</si>
  <si>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</si>
  <si>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</si>
  <si>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</si>
  <si>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</si>
  <si>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</si>
  <si>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</si>
  <si>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</si>
  <si>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</si>
  <si>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</si>
  <si>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</si>
  <si>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</si>
  <si>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</si>
  <si>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</si>
  <si>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</si>
  <si>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</si>
  <si>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</si>
  <si>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</si>
  <si>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</si>
  <si>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</si>
  <si>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</si>
  <si>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</si>
  <si>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</si>
  <si>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</si>
  <si>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</si>
  <si>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</si>
  <si>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</si>
  <si>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</si>
  <si>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</si>
  <si>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</si>
  <si>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</si>
  <si>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</si>
  <si>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</si>
  <si>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</si>
  <si>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</si>
  <si>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</si>
  <si>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</si>
  <si>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</si>
  <si>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</si>
  <si>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</si>
  <si>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</si>
  <si>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</si>
  <si>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</si>
  <si>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</si>
  <si>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</si>
  <si>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</si>
  <si>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</si>
  <si>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</si>
  <si>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</si>
  <si>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</si>
  <si>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</si>
  <si>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</si>
  <si>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</si>
  <si>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</si>
  <si>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</si>
  <si>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</si>
  <si>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</si>
  <si>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</si>
  <si>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</si>
  <si>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</si>
  <si>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</si>
  <si>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</si>
  <si>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</si>
  <si>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</si>
  <si>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</si>
  <si>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</si>
  <si>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</si>
  <si>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</si>
  <si>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</si>
  <si>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</si>
  <si>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</si>
  <si>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</si>
  <si>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</si>
  <si>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</si>
  <si>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</si>
  <si>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</si>
  <si>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</si>
  <si>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</si>
  <si>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</si>
  <si>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</si>
  <si>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</si>
  <si>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</si>
  <si>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</si>
  <si>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</si>
  <si>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</si>
  <si>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</si>
  <si>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</si>
  <si>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</si>
  <si>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</si>
  <si>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</si>
  <si>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</si>
  <si>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</si>
  <si>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</si>
  <si>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</si>
  <si>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</si>
  <si>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</si>
  <si>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</si>
  <si>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</si>
  <si>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</si>
  <si>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</si>
  <si>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</si>
  <si>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</si>
  <si>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</si>
  <si>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</si>
  <si>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</si>
  <si>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</si>
  <si>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</si>
  <si>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</si>
  <si>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</si>
  <si>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</si>
  <si>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</si>
  <si>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</si>
  <si>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</si>
  <si>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</si>
  <si>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</si>
  <si>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</si>
  <si>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</si>
  <si>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</si>
  <si>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</si>
  <si>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</si>
  <si>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</si>
  <si>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</si>
  <si>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</si>
  <si>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</si>
  <si>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</si>
  <si>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</si>
  <si>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</si>
  <si>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</si>
  <si>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</si>
  <si>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</si>
  <si>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</si>
  <si>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</si>
  <si>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</si>
  <si>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</si>
  <si>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</si>
  <si>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</si>
  <si>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</si>
  <si>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</si>
  <si>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</si>
  <si>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</si>
  <si>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</si>
  <si>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</si>
  <si>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</si>
  <si>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</si>
  <si>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</si>
  <si>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</si>
  <si>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</si>
  <si>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</si>
  <si>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</si>
  <si>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</si>
  <si>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</si>
  <si>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</si>
  <si>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</si>
  <si>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</si>
  <si>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</si>
  <si>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</si>
  <si>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</si>
  <si>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</si>
  <si>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</si>
  <si>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</si>
  <si>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</si>
  <si>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</si>
  <si>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</si>
  <si>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</si>
  <si>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</si>
  <si>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</si>
  <si>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</si>
  <si>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</si>
  <si>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</si>
  <si>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</si>
  <si>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</si>
  <si>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</si>
  <si>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</si>
  <si>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</si>
  <si>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</si>
  <si>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</si>
  <si>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</si>
  <si>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</si>
  <si>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</si>
  <si>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</si>
  <si>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</si>
  <si>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</si>
  <si>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</si>
  <si>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</si>
  <si>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</si>
  <si>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</si>
  <si>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</si>
  <si>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</si>
  <si>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</si>
  <si>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</si>
  <si>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</si>
  <si>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</si>
  <si>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</si>
  <si>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</si>
  <si>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</si>
  <si>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</si>
  <si>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</si>
  <si>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</si>
  <si>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</si>
  <si>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</si>
  <si>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</si>
  <si>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</si>
  <si>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</si>
  <si>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</si>
  <si>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</si>
  <si>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</si>
  <si>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</si>
  <si>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</si>
  <si>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</si>
  <si>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</si>
  <si>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</si>
  <si>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</si>
  <si>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</si>
  <si>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</si>
  <si>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</si>
  <si>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</si>
  <si>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</si>
  <si>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</si>
  <si>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</si>
  <si>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</si>
  <si>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</si>
  <si>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</si>
  <si>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</si>
  <si>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</si>
  <si>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</si>
  <si>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</si>
  <si>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</si>
  <si>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</si>
  <si>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</si>
  <si>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</si>
  <si>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</si>
  <si>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</si>
  <si>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</si>
  <si>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</si>
  <si>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</si>
  <si>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</si>
  <si>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</si>
  <si>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</si>
  <si>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</si>
  <si>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</si>
  <si>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</si>
  <si>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</si>
  <si>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</si>
  <si>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</si>
  <si>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</si>
  <si>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</si>
  <si>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</si>
  <si>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</si>
  <si>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</si>
  <si>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</si>
  <si>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</si>
  <si>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</si>
  <si>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</si>
  <si>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</si>
  <si>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</si>
  <si>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</si>
  <si>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</si>
  <si>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</si>
  <si>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</si>
  <si>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</si>
  <si>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</si>
  <si>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</si>
  <si>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</si>
  <si>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</si>
  <si>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</si>
  <si>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</si>
  <si>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</si>
  <si>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</si>
  <si>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</si>
  <si>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</si>
  <si>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</si>
  <si>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</si>
  <si>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</si>
  <si>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</si>
  <si>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</si>
  <si>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</si>
  <si>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</si>
  <si>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</si>
  <si>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</si>
  <si>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</si>
  <si>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</si>
  <si>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</si>
  <si>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</si>
  <si>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</si>
  <si>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</si>
  <si>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</si>
  <si>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</si>
  <si>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</si>
  <si>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</si>
  <si>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</si>
  <si>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</si>
  <si>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</si>
  <si>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</si>
  <si>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</si>
  <si>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</si>
  <si>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</si>
  <si>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</si>
  <si>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</si>
  <si>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</si>
  <si>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</si>
  <si>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</si>
  <si>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</si>
  <si>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</si>
  <si>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</si>
  <si>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</si>
  <si>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</si>
  <si>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</si>
  <si>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</si>
  <si>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</si>
  <si>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</si>
  <si>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</si>
  <si>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</si>
  <si>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</si>
  <si>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</si>
  <si>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</si>
  <si>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</si>
  <si>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</si>
  <si>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</si>
  <si>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</si>
  <si>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</si>
  <si>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</si>
  <si>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</si>
  <si>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</si>
  <si>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</si>
  <si>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</si>
  <si>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</si>
  <si>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</si>
  <si>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</si>
  <si>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</si>
  <si>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</si>
  <si>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</si>
  <si>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</si>
  <si>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</si>
  <si>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</si>
  <si>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</si>
  <si>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</si>
  <si>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</si>
  <si>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</si>
  <si>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</si>
  <si>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</si>
  <si>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</si>
  <si>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</si>
  <si>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</si>
  <si>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</si>
  <si>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</si>
  <si>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</si>
  <si>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</si>
  <si>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</si>
  <si>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</si>
  <si>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</si>
  <si>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</si>
  <si>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</si>
  <si>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</si>
  <si>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</si>
  <si>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</si>
  <si>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</si>
  <si>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</si>
  <si>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</si>
  <si>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</si>
  <si>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</si>
  <si>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</si>
  <si>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</si>
  <si>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</si>
  <si>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</si>
  <si>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</si>
  <si>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</si>
  <si>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</si>
  <si>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</si>
  <si>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</si>
  <si>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</si>
  <si>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</si>
  <si>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</si>
  <si>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</si>
  <si>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</si>
  <si>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</si>
  <si>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</si>
  <si>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</si>
  <si>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</si>
  <si>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</si>
  <si>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</si>
  <si>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</si>
  <si>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</si>
  <si>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</si>
  <si>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</si>
  <si>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</si>
  <si>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</si>
  <si>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</si>
  <si>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</si>
  <si>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</si>
  <si>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</si>
  <si>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</si>
  <si>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</si>
  <si>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</si>
  <si>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</si>
  <si>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</si>
  <si>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</si>
  <si>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</si>
  <si>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</si>
  <si>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</si>
  <si>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</si>
  <si>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</si>
  <si>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</si>
  <si>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</si>
  <si>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</si>
  <si>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</si>
  <si>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</si>
  <si>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</si>
  <si>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</si>
  <si>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</si>
  <si>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</si>
  <si>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</si>
  <si>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</si>
  <si>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</si>
  <si>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</si>
  <si>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</si>
  <si>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</si>
  <si>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</si>
  <si>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</si>
  <si>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</si>
  <si>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</si>
  <si>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</si>
  <si>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</si>
  <si>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</si>
  <si>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</si>
  <si>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</si>
  <si>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</si>
  <si>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</si>
  <si>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</si>
  <si>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</si>
  <si>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</si>
  <si>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</si>
  <si>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</si>
  <si>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</si>
  <si>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</si>
  <si>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</si>
  <si>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</si>
  <si>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</si>
  <si>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</si>
  <si>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</si>
  <si>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</si>
  <si>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</si>
  <si>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</si>
  <si>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</si>
  <si>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</si>
  <si>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</si>
  <si>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</si>
  <si>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</si>
  <si>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</si>
  <si>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</si>
  <si>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</si>
  <si>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</si>
  <si>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</si>
  <si>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</si>
  <si>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</si>
  <si>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</si>
  <si>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</si>
  <si>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</si>
  <si>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</si>
  <si>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</si>
  <si>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</si>
  <si>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</si>
  <si>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</si>
  <si>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</si>
  <si>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</si>
  <si>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</si>
  <si>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</si>
  <si>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</si>
  <si>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</si>
  <si>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</si>
  <si>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</si>
  <si>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</si>
  <si>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</si>
  <si>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</si>
  <si>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</si>
  <si>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</si>
  <si>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</si>
  <si>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</si>
  <si>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</si>
  <si>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</si>
  <si>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</si>
  <si>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</si>
  <si>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</si>
  <si>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</si>
  <si>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</si>
  <si>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</si>
  <si>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</si>
  <si>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</si>
  <si>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</si>
  <si>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</si>
  <si>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</si>
  <si>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</si>
  <si>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</si>
  <si>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</si>
  <si>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</si>
  <si>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</si>
  <si>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</si>
  <si>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</si>
  <si>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</si>
  <si>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</si>
  <si>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</si>
  <si>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</si>
  <si>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</si>
  <si>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</si>
  <si>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</si>
  <si>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</si>
  <si>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</si>
  <si>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</si>
  <si>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</si>
  <si>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</si>
  <si>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</si>
  <si>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</si>
  <si>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</si>
  <si>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</si>
  <si>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</si>
  <si>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</si>
  <si>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</si>
  <si>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</si>
  <si>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</si>
  <si>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</si>
  <si>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</si>
  <si>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</si>
  <si>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</si>
  <si>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</si>
  <si>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</si>
  <si>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</si>
  <si>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</si>
  <si>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</si>
  <si>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</si>
  <si>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</si>
  <si>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</si>
  <si>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</si>
  <si>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</si>
  <si>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</si>
  <si>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</si>
  <si>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</si>
  <si>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</si>
  <si>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</si>
  <si>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</si>
  <si>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</si>
  <si>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</si>
  <si>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</si>
  <si>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</si>
  <si>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</si>
  <si>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</si>
  <si>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</si>
  <si>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</si>
  <si>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</si>
  <si>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</si>
  <si>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</si>
  <si>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</si>
  <si>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</si>
  <si>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</si>
  <si>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</si>
  <si>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</si>
  <si>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</si>
  <si>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</si>
  <si>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</si>
  <si>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</si>
  <si>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</si>
  <si>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</si>
  <si>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</si>
  <si>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</si>
  <si>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</si>
  <si>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</si>
  <si>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</si>
  <si>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</si>
  <si>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</si>
  <si>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</si>
  <si>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</si>
  <si>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</si>
  <si>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</si>
  <si>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</si>
  <si>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</si>
  <si>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</si>
  <si>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</si>
  <si>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</si>
  <si>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</si>
  <si>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</si>
  <si>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</si>
  <si>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</si>
  <si>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</si>
  <si>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</si>
  <si>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</si>
  <si>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</si>
  <si>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</si>
  <si>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</si>
  <si>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</si>
  <si>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</si>
  <si>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</si>
  <si>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</si>
  <si>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</si>
  <si>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</si>
  <si>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</si>
  <si>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</si>
  <si>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</si>
  <si>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</si>
  <si>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</si>
  <si>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</si>
  <si>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</si>
  <si>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</si>
  <si>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</si>
  <si>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</si>
  <si>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</si>
  <si>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</si>
  <si>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</si>
  <si>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</si>
  <si>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</si>
  <si>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</si>
  <si>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</si>
  <si>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</si>
  <si>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</si>
  <si>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</si>
  <si>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</si>
  <si>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</si>
  <si>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</si>
  <si>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</si>
  <si>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</si>
  <si>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</si>
  <si>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</si>
  <si>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</si>
  <si>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</si>
  <si>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</si>
  <si>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</si>
  <si>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</si>
  <si>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</si>
  <si>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</si>
  <si>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</si>
  <si>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</si>
  <si>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</si>
  <si>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</si>
  <si>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</si>
  <si>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</si>
  <si>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</si>
  <si>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</si>
  <si>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</si>
  <si>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</si>
  <si>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</si>
  <si>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</si>
  <si>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</si>
  <si>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</si>
  <si>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</si>
  <si>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</si>
  <si>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</si>
  <si>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</si>
  <si>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</si>
  <si>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</si>
  <si>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</si>
  <si>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</si>
  <si>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</si>
  <si>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</si>
  <si>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</si>
  <si>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</si>
  <si>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</si>
  <si>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</si>
  <si>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</si>
  <si>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</si>
  <si>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</si>
  <si>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</si>
  <si>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</si>
  <si>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</si>
  <si>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</si>
  <si>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</si>
  <si>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</si>
  <si>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</si>
  <si>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</si>
  <si>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</si>
  <si>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</si>
  <si>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</si>
  <si>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</si>
  <si>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</si>
  <si>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</si>
  <si>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</si>
  <si>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</si>
  <si>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</si>
  <si>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</si>
  <si>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</si>
  <si>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</si>
  <si>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</si>
  <si>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</si>
  <si>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</si>
  <si>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</si>
  <si>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</si>
  <si>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</si>
  <si>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</si>
  <si>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</si>
  <si>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</si>
  <si>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</si>
  <si>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</si>
  <si>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</si>
  <si>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</si>
  <si>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</si>
  <si>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</si>
  <si>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</si>
  <si>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</si>
  <si>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</si>
  <si>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</si>
  <si>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</si>
  <si>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</si>
  <si>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</si>
  <si>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</si>
  <si>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</si>
  <si>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</si>
  <si>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</si>
  <si>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</si>
  <si>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</si>
  <si>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</si>
  <si>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</si>
  <si>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</si>
  <si>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</si>
  <si>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</si>
  <si>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</si>
  <si>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</si>
  <si>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</si>
  <si>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</si>
  <si>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</si>
  <si>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</si>
  <si>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</si>
  <si>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</si>
  <si>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</si>
  <si>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</si>
  <si>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</si>
  <si>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</si>
  <si>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</si>
  <si>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</si>
  <si>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</si>
  <si>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</si>
  <si>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</si>
  <si>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</si>
  <si>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</si>
  <si>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</si>
  <si>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</si>
  <si>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</si>
  <si>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</si>
  <si>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</si>
  <si>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</si>
  <si>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</si>
  <si>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</si>
  <si>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</si>
  <si>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</si>
  <si>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</si>
  <si>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</si>
  <si>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</si>
  <si>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</si>
  <si>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</si>
  <si>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</si>
  <si>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</si>
  <si>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</si>
  <si>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</si>
  <si>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</si>
  <si>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</si>
  <si>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</si>
  <si>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</si>
  <si>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</si>
  <si>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</si>
  <si>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</si>
  <si>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</si>
  <si>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</si>
  <si>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</si>
  <si>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</si>
  <si>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</si>
  <si>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</si>
  <si>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</si>
  <si>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</si>
  <si>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</si>
  <si>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</si>
  <si>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</si>
  <si>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</si>
  <si>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</si>
  <si>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</si>
  <si>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</si>
  <si>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</si>
  <si>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</si>
  <si>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</si>
  <si>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</si>
  <si>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</si>
  <si>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</si>
  <si>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</si>
  <si>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</si>
  <si>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</si>
  <si>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</si>
  <si>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</si>
  <si>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</si>
  <si>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</si>
  <si>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</si>
  <si>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</si>
  <si>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</si>
  <si>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</si>
  <si>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</si>
  <si>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</si>
  <si>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</si>
  <si>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</si>
  <si>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</si>
  <si>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</si>
  <si>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</si>
  <si>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</si>
  <si>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</si>
  <si>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</si>
  <si>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</si>
  <si>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</si>
  <si>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</si>
  <si>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</si>
  <si>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</si>
  <si>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</si>
  <si>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</si>
  <si>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</si>
  <si>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</si>
  <si>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</si>
  <si>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</si>
  <si>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</si>
  <si>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</si>
  <si>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</si>
  <si>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</si>
  <si>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</si>
  <si>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</si>
  <si>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</si>
  <si>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</si>
  <si>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</si>
  <si>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</si>
  <si>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</si>
  <si>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</si>
  <si>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</si>
  <si>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</si>
  <si>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</si>
  <si>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</si>
  <si>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</si>
  <si>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</si>
  <si>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</si>
  <si>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</si>
  <si>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</si>
  <si>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</si>
  <si>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</si>
  <si>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</si>
  <si>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</si>
  <si>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</si>
  <si>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</si>
  <si>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</si>
  <si>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</si>
  <si>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</si>
  <si>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</si>
  <si>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</si>
  <si>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</si>
  <si>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</si>
  <si>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</si>
  <si>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</si>
  <si>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</si>
  <si>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</si>
  <si>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</si>
  <si>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</si>
  <si>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</si>
  <si>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</si>
  <si>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</si>
  <si>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</si>
  <si>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</si>
  <si>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</si>
  <si>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</si>
  <si>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</si>
  <si>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</si>
  <si>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</si>
  <si>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</si>
  <si>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</si>
  <si>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</si>
  <si>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</si>
  <si>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</si>
  <si>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</si>
  <si>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</si>
  <si>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</si>
  <si>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</si>
  <si>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</si>
  <si>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</si>
  <si>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</si>
  <si>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</si>
  <si>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</si>
  <si>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</si>
  <si>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</si>
  <si>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</si>
  <si>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</si>
  <si>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</si>
  <si>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</si>
  <si>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</si>
  <si>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</si>
  <si>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</si>
  <si>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</si>
  <si>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</si>
  <si>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</si>
  <si>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</si>
  <si>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</si>
  <si>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</si>
  <si>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</si>
  <si>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</si>
  <si>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</si>
  <si>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</si>
  <si>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</si>
  <si>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</si>
  <si>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</si>
  <si>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</si>
  <si>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</si>
  <si>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</si>
  <si>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</si>
  <si>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</si>
  <si>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</si>
  <si>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</si>
  <si>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</si>
  <si>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</si>
  <si>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</si>
  <si>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</si>
  <si>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</si>
  <si>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</si>
  <si>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</si>
  <si>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</si>
  <si>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</si>
  <si>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</si>
  <si>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</si>
  <si>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</si>
  <si>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</si>
  <si>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</si>
  <si>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</si>
  <si>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</si>
  <si>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</si>
  <si>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</si>
  <si>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</si>
  <si>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</si>
  <si>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</si>
  <si>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Ajay Glass &amp; Mirror Co., Inc.</t>
  </si>
  <si>
    <t>101 North Street</t>
  </si>
  <si>
    <t>Canandaigua, NY 14424</t>
  </si>
  <si>
    <t>Valerie Lapp</t>
  </si>
  <si>
    <t>Payroll Administrator</t>
  </si>
  <si>
    <t>Glaziers</t>
  </si>
  <si>
    <t>Structural Iron and Steel Workers</t>
  </si>
  <si>
    <t>47-2121</t>
  </si>
  <si>
    <t>Carpenters</t>
  </si>
  <si>
    <t>REVISED 7-10-18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</si>
</sst>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;;"/>
    <numFmt numFmtId="165" formatCode="&quot;$&quot;#,##0"/>
    <numFmt numFmtId="168" formatCode="&quot;$&quot;#,##0.00"/>
    <numFmt numFmtId="169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1" fillId="0" borderId="3" xfId="0" applyFont="1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68" fontId="3" fillId="13" borderId="4" xfId="0" applyNumberFormat="1" applyFont="1" applyFill="1" applyBorder="1" applyAlignment="1" applyProtection="1">
      <alignment horizontal="center" vertical="center"/>
      <protection locked="0"/>
    </xf>
    <xf numFmtId="169" fontId="3" fillId="13" borderId="4" xfId="0" applyNumberFormat="1" applyFont="1" applyFill="1" applyBorder="1" applyAlignment="1" applyProtection="1">
      <alignment horizontal="center" vertical="center"/>
      <protection locked="0"/>
    </xf>
    <xf numFmtId="168" fontId="3" fillId="12" borderId="4" xfId="0" applyNumberFormat="1" applyFont="1" applyFill="1" applyBorder="1" applyAlignment="1" applyProtection="1">
      <alignment horizontal="center" vertical="center"/>
      <protection locked="0"/>
    </xf>
    <xf numFmtId="168" fontId="3" fillId="9" borderId="4" xfId="0" applyNumberFormat="1" applyFont="1" applyFill="1" applyBorder="1" applyAlignment="1" applyProtection="1">
      <alignment horizontal="center" vertical="center"/>
      <protection locked="0"/>
    </xf>
    <xf numFmtId="168" fontId="3" fillId="10" borderId="4" xfId="0" applyNumberFormat="1" applyFont="1" applyFill="1" applyBorder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66675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D19" zoomScaleNormal="100" zoomScalePageLayoutView="96" workbookViewId="0">
      <selection activeCell="Z39" sqref="Z3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11.140625" bestFit="1" customWidth="1"/>
    <col min="10" max="10" width="8.7109375" style="3"/>
    <col min="14" max="14" width="9.140625" style="3" bestFit="1" customWidth="1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9.140625" style="3" bestFit="1" customWidth="1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 t="s">
        <v>1845</v>
      </c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>
        <v>43312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1843</v>
      </c>
      <c r="F22" s="96">
        <v>14</v>
      </c>
      <c r="G22" s="190">
        <v>2063.5</v>
      </c>
      <c r="H22" s="189">
        <v>70763.03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>
        <v>1</v>
      </c>
      <c r="Y22" s="99">
        <v>194</v>
      </c>
      <c r="Z22" s="192">
        <v>5192</v>
      </c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47-2221</v>
      </c>
      <c r="F23" s="96">
        <v>18</v>
      </c>
      <c r="G23" s="137">
        <v>2409</v>
      </c>
      <c r="H23" s="189">
        <v>77415.740000000005</v>
      </c>
      <c r="I23" s="96"/>
      <c r="J23" s="96"/>
      <c r="K23" s="94"/>
      <c r="L23" s="97">
        <v>1</v>
      </c>
      <c r="M23" s="97">
        <v>112</v>
      </c>
      <c r="N23" s="191">
        <v>3540</v>
      </c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 t="s">
        <v>319</v>
      </c>
      <c r="D24" s="33" t="s">
        <v>1844</v>
      </c>
      <c r="E24" s="92" t="str">
        <f>IF(ISERROR(VLOOKUP(D24,Sheet3!$A$2:$B$821,2,FALSE)),"",(VLOOKUP(D24,Sheet3!$A$2:$B$821,2,FALSE)))</f>
        <v>47-2031</v>
      </c>
      <c r="F24" s="96">
        <v>2</v>
      </c>
      <c r="G24" s="137">
        <v>309</v>
      </c>
      <c r="H24" s="189">
        <v>9436.4699999999993</v>
      </c>
      <c r="I24" s="96"/>
      <c r="J24" s="96"/>
      <c r="K24" s="94"/>
      <c r="L24" s="97">
        <v>1</v>
      </c>
      <c r="M24" s="97">
        <v>109</v>
      </c>
      <c r="N24" s="191">
        <v>1618.71</v>
      </c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34</v>
      </c>
      <c r="G39" s="95">
        <f>SUM(G22:G37)</f>
        <v>4781.5</v>
      </c>
      <c r="H39" s="193">
        <f>SUM(H22:H37)</f>
        <v>157615.24000000002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2</v>
      </c>
      <c r="M39" s="95">
        <f t="shared" si="0"/>
        <v>221</v>
      </c>
      <c r="N39" s="193">
        <f>SUM(N22:N37)</f>
        <v>5158.71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1</v>
      </c>
      <c r="Y39" s="95">
        <f t="shared" si="0"/>
        <v>194</v>
      </c>
      <c r="Z39" s="193">
        <f>SUM(Z22:Z37)</f>
        <v>5192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Valerie Lapp</cp:lastModifiedBy>
  <cp:lastPrinted>2018-07-02T18:40:56Z</cp:lastPrinted>
  <dcterms:created xsi:type="dcterms:W3CDTF">2016-01-07T15:16:02Z</dcterms:created>
  <dcterms:modified xsi:type="dcterms:W3CDTF">2018-07-31T19:40:16Z</dcterms:modified>
</cp:coreProperties>
</file>