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2- February 2018\"/>
    </mc:Choice>
  </mc:AlternateContent>
  <bookViews>
    <workbookView xWindow="0" yWindow="0" windowWidth="23040" windowHeight="8532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<sst xmlns="http://schemas.openxmlformats.org/spreadsheetml/2006/main" count="2108" uniqueCount="1846">
  <si>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</si>
  <si>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</si>
  <si>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</si>
  <si>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</si>
  <si>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</si>
  <si>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</si>
  <si>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</si>
  <si>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</si>
  <si>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</si>
  <si>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</si>
  <si>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</si>
  <si>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</si>
  <si>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</si>
  <si>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</si>
  <si>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</si>
  <si>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</si>
  <si>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</si>
  <si>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</si>
  <si>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</si>
  <si>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</si>
  <si>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</si>
  <si>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</si>
  <si>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</si>
  <si>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</si>
  <si>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</si>
  <si>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</si>
  <si>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</si>
  <si>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</si>
  <si>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</si>
  <si>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</si>
  <si>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</si>
  <si>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</si>
  <si>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</si>
  <si>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</si>
  <si>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</si>
  <si>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</si>
  <si>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</si>
  <si>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</si>
  <si>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</si>
  <si>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</si>
  <si>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</si>
  <si>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</si>
  <si>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</si>
  <si>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</si>
  <si>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</si>
  <si>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</si>
  <si>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</si>
  <si>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</si>
  <si>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</si>
  <si>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</si>
  <si>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</si>
  <si>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</si>
  <si>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</si>
  <si>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</si>
  <si>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</si>
  <si>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</si>
  <si>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</si>
  <si>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</si>
  <si>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</si>
  <si>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</si>
  <si>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</si>
  <si>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</si>
  <si>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</si>
  <si>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</si>
  <si>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</si>
  <si>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</si>
  <si>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</si>
  <si>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</si>
  <si>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</si>
  <si>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</si>
  <si>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</si>
  <si>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</si>
  <si>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</si>
  <si>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</si>
  <si>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</si>
  <si>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</si>
  <si>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</si>
  <si>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</si>
  <si>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</si>
  <si>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</si>
  <si>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</si>
  <si>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</si>
  <si>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</si>
  <si>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</si>
  <si>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</si>
  <si>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</si>
  <si>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</si>
  <si>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</si>
  <si>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</si>
  <si>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</si>
  <si>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</si>
  <si>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</si>
  <si>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</si>
  <si>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</si>
  <si>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</si>
  <si>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</si>
  <si>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</si>
  <si>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</si>
  <si>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</si>
  <si>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</si>
  <si>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</si>
  <si>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</si>
  <si>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</si>
  <si>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</si>
  <si>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</si>
  <si>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</si>
  <si>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</si>
  <si>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</si>
  <si>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</si>
  <si>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</si>
  <si>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</si>
  <si>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</si>
  <si>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</si>
  <si>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</si>
  <si>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</si>
  <si>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</si>
  <si>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</si>
  <si>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</si>
  <si>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</si>
  <si>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</si>
  <si>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</si>
  <si>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</si>
  <si>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</si>
  <si>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</si>
  <si>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</si>
  <si>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</si>
  <si>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</si>
  <si>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</si>
  <si>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</si>
  <si>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</si>
  <si>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</si>
  <si>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</si>
  <si>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</si>
  <si>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</si>
  <si>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</si>
  <si>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</si>
  <si>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</si>
  <si>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</si>
  <si>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</si>
  <si>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</si>
  <si>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</si>
  <si>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</si>
  <si>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</si>
  <si>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</si>
  <si>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</si>
  <si>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</si>
  <si>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</si>
  <si>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</si>
  <si>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</si>
  <si>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</si>
  <si>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</si>
  <si>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</si>
  <si>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</si>
  <si>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</si>
  <si>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</si>
  <si>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</si>
  <si>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</si>
  <si>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</si>
  <si>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</si>
  <si>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</si>
  <si>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</si>
  <si>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</si>
  <si>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</si>
  <si>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</si>
  <si>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</si>
  <si>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</si>
  <si>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</si>
  <si>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</si>
  <si>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</si>
  <si>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</si>
  <si>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</si>
  <si>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</si>
  <si>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</si>
  <si>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</si>
  <si>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</si>
  <si>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</si>
  <si>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</si>
  <si>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</si>
  <si>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</si>
  <si>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</si>
  <si>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</si>
  <si>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</si>
  <si>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</si>
  <si>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</si>
  <si>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</si>
  <si>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</si>
  <si>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</si>
  <si>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</si>
  <si>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</si>
  <si>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</si>
  <si>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</si>
  <si>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</si>
  <si>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</si>
  <si>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</si>
  <si>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</si>
  <si>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</si>
  <si>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</si>
  <si>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</si>
  <si>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</si>
  <si>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</si>
  <si>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</si>
  <si>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</si>
  <si>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</si>
  <si>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</si>
  <si>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</si>
  <si>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</si>
  <si>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</si>
  <si>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</si>
  <si>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</si>
  <si>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</si>
  <si>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</si>
  <si>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</si>
  <si>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</si>
  <si>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</si>
  <si>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</si>
  <si>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</si>
  <si>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</si>
  <si>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</si>
  <si>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</si>
  <si>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</si>
  <si>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</si>
  <si>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</si>
  <si>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</si>
  <si>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</si>
  <si>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</si>
  <si>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</si>
  <si>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</si>
  <si>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</si>
  <si>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</si>
  <si>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</si>
  <si>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</si>
  <si>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</si>
  <si>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</si>
  <si>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</si>
  <si>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</si>
  <si>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</si>
  <si>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</si>
  <si>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</si>
  <si>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</si>
  <si>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</si>
  <si>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</si>
  <si>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</si>
  <si>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</si>
  <si>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</si>
  <si>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</si>
  <si>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</si>
  <si>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</si>
  <si>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</si>
  <si>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</si>
  <si>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</si>
  <si>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</si>
  <si>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</si>
  <si>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</si>
  <si>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</si>
  <si>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</si>
  <si>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</si>
  <si>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</si>
  <si>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</si>
  <si>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</si>
  <si>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</si>
  <si>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</si>
  <si>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</si>
  <si>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</si>
  <si>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</si>
  <si>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</si>
  <si>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</si>
  <si>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</si>
  <si>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</si>
  <si>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</si>
  <si>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</si>
  <si>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</si>
  <si>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</si>
  <si>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</si>
  <si>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</si>
  <si>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</si>
  <si>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</si>
  <si>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</si>
  <si>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</si>
  <si>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</si>
  <si>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</si>
  <si>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</si>
  <si>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</si>
  <si>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</si>
  <si>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</si>
  <si>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</si>
  <si>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</si>
  <si>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</si>
  <si>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</si>
  <si>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</si>
  <si>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</si>
  <si>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</si>
  <si>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</si>
  <si>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</si>
  <si>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</si>
  <si>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</si>
  <si>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</si>
  <si>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</si>
  <si>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</si>
  <si>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</si>
  <si>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</si>
  <si>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</si>
  <si>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</si>
  <si>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</si>
  <si>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</si>
  <si>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</si>
  <si>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</si>
  <si>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</si>
  <si>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</si>
  <si>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</si>
  <si>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</si>
  <si>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</si>
  <si>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</si>
  <si>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</si>
  <si>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</si>
  <si>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</si>
  <si>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</si>
  <si>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</si>
  <si>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</si>
  <si>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</si>
  <si>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</si>
  <si>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</si>
  <si>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</si>
  <si>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</si>
  <si>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</si>
  <si>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</si>
  <si>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</si>
  <si>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</si>
  <si>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</si>
  <si>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</si>
  <si>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</si>
  <si>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</si>
  <si>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</si>
  <si>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</si>
  <si>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</si>
  <si>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</si>
  <si>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</si>
  <si>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</si>
  <si>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</si>
  <si>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</si>
  <si>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</si>
  <si>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</si>
  <si>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</si>
  <si>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</si>
  <si>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</si>
  <si>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</si>
  <si>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</si>
  <si>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</si>
  <si>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</si>
  <si>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</si>
  <si>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</si>
  <si>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</si>
  <si>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</si>
  <si>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</si>
  <si>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</si>
  <si>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</si>
  <si>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</si>
  <si>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</si>
  <si>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</si>
  <si>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</si>
  <si>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</si>
  <si>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</si>
  <si>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</si>
  <si>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</si>
  <si>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</si>
  <si>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</si>
  <si>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</si>
  <si>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</si>
  <si>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</si>
  <si>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</si>
  <si>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</si>
  <si>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</si>
  <si>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</si>
  <si>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</si>
  <si>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</si>
  <si>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</si>
  <si>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</si>
  <si>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</si>
  <si>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</si>
  <si>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</si>
  <si>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</si>
  <si>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</si>
  <si>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</si>
  <si>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</si>
  <si>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</si>
  <si>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</si>
  <si>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</si>
  <si>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</si>
  <si>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</si>
  <si>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</si>
  <si>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</si>
  <si>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</si>
  <si>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</si>
  <si>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</si>
  <si>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</si>
  <si>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</si>
  <si>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</si>
  <si>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</si>
  <si>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</si>
  <si>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</si>
  <si>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</si>
  <si>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</si>
  <si>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</si>
  <si>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</si>
  <si>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</si>
  <si>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</si>
  <si>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</si>
  <si>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</si>
  <si>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</si>
  <si>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</si>
  <si>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</si>
  <si>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</si>
  <si>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</si>
  <si>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</si>
  <si>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</si>
  <si>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</si>
  <si>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</si>
  <si>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</si>
  <si>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</si>
  <si>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</si>
  <si>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</si>
  <si>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</si>
  <si>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</si>
  <si>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</si>
  <si>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</si>
  <si>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</si>
  <si>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</si>
  <si>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</si>
  <si>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</si>
  <si>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</si>
  <si>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</si>
  <si>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</si>
  <si>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</si>
  <si>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</si>
  <si>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</si>
  <si>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</si>
  <si>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</si>
  <si>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</si>
  <si>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</si>
  <si>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</si>
  <si>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</si>
  <si>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</si>
  <si>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</si>
  <si>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</si>
  <si>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</si>
  <si>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</si>
  <si>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</si>
  <si>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</si>
  <si>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</si>
  <si>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</si>
  <si>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</si>
  <si>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</si>
  <si>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</si>
  <si>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</si>
  <si>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</si>
  <si>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</si>
  <si>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</si>
  <si>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</si>
  <si>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</si>
  <si>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</si>
  <si>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</si>
  <si>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</si>
  <si>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</si>
  <si>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</si>
  <si>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</si>
  <si>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</si>
  <si>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</si>
  <si>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</si>
  <si>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</si>
  <si>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</si>
  <si>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</si>
  <si>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</si>
  <si>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</si>
  <si>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</si>
  <si>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</si>
  <si>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</si>
  <si>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</si>
  <si>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</si>
  <si>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</si>
  <si>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</si>
  <si>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</si>
  <si>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</si>
  <si>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</si>
  <si>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</si>
  <si>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</si>
  <si>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</si>
  <si>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</si>
  <si>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</si>
  <si>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</si>
  <si>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</si>
  <si>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</si>
  <si>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</si>
  <si>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</si>
  <si>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</si>
  <si>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</si>
  <si>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</si>
  <si>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</si>
  <si>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</si>
  <si>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</si>
  <si>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</si>
  <si>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</si>
  <si>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</si>
  <si>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</si>
  <si>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</si>
  <si>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</si>
  <si>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</si>
  <si>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</si>
  <si>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</si>
  <si>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</si>
  <si>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</si>
  <si>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</si>
  <si>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</si>
  <si>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</si>
  <si>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</si>
  <si>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</si>
  <si>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</si>
  <si>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</si>
  <si>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</si>
  <si>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</si>
  <si>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</si>
  <si>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</si>
  <si>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</si>
  <si>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</si>
  <si>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</si>
  <si>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</si>
  <si>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</si>
  <si>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</si>
  <si>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</si>
  <si>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</si>
  <si>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</si>
  <si>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</si>
  <si>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</si>
  <si>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</si>
  <si>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</si>
  <si>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</si>
  <si>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</si>
  <si>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</si>
  <si>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</si>
  <si>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</si>
  <si>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</si>
  <si>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</si>
  <si>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</si>
  <si>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</si>
  <si>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</si>
  <si>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</si>
  <si>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</si>
  <si>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</si>
  <si>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</si>
  <si>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</si>
  <si>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</si>
  <si>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</si>
  <si>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</si>
  <si>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</si>
  <si>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</si>
  <si>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</si>
  <si>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</si>
  <si>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</si>
  <si>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</si>
  <si>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</si>
  <si>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</si>
  <si>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</si>
  <si>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</si>
  <si>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</si>
  <si>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</si>
  <si>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</si>
  <si>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</si>
  <si>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</si>
  <si>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</si>
  <si>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</si>
  <si>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</si>
  <si>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</si>
  <si>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</si>
  <si>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</si>
  <si>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</si>
  <si>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</si>
  <si>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</si>
  <si>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</si>
  <si>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</si>
  <si>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</si>
  <si>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</si>
  <si>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</si>
  <si>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</si>
  <si>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</si>
  <si>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</si>
  <si>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</si>
  <si>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</si>
  <si>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</si>
  <si>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</si>
  <si>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</si>
  <si>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</si>
  <si>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</si>
  <si>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</si>
  <si>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</si>
  <si>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</si>
  <si>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</si>
  <si>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</si>
  <si>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</si>
  <si>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</si>
  <si>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</si>
  <si>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</si>
  <si>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</si>
  <si>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</si>
  <si>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</si>
  <si>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</si>
  <si>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</si>
  <si>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</si>
  <si>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</si>
  <si>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</si>
  <si>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</si>
  <si>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</si>
  <si>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</si>
  <si>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</si>
  <si>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</si>
  <si>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</si>
  <si>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</si>
  <si>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</si>
  <si>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</si>
  <si>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</si>
  <si>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</si>
  <si>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</si>
  <si>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</si>
  <si>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</si>
  <si>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</si>
  <si>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</si>
  <si>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</si>
  <si>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</si>
  <si>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</si>
  <si>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</si>
  <si>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</si>
  <si>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</si>
  <si>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</si>
  <si>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</si>
  <si>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</si>
  <si>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</si>
  <si>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</si>
  <si>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</si>
  <si>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</si>
  <si>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</si>
  <si>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</si>
  <si>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</si>
  <si>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</si>
  <si>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</si>
  <si>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</si>
  <si>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</si>
  <si>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</si>
  <si>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</si>
  <si>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</si>
  <si>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</si>
  <si>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</si>
  <si>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</si>
  <si>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</si>
  <si>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</si>
  <si>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</si>
  <si>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</si>
  <si>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</si>
  <si>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</si>
  <si>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</si>
  <si>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</si>
  <si>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</si>
  <si>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</si>
  <si>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</si>
  <si>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</si>
  <si>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</si>
  <si>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</si>
  <si>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</si>
  <si>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</si>
  <si>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</si>
  <si>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</si>
  <si>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</si>
  <si>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</si>
  <si>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</si>
  <si>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</si>
  <si>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</si>
  <si>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</si>
  <si>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</si>
  <si>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</si>
  <si>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</si>
  <si>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</si>
  <si>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</si>
  <si>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</si>
  <si>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</si>
  <si>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</si>
  <si>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</si>
  <si>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</si>
  <si>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</si>
  <si>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</si>
  <si>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</si>
  <si>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</si>
  <si>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</si>
  <si>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</si>
  <si>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</si>
  <si>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</si>
  <si>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</si>
  <si>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</si>
  <si>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</si>
  <si>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</si>
  <si>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</si>
  <si>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</si>
  <si>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</si>
  <si>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</si>
  <si>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</si>
  <si>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</si>
  <si>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</si>
  <si>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</si>
  <si>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</si>
  <si>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</si>
  <si>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</si>
  <si>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</si>
  <si>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</si>
  <si>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</si>
  <si>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</si>
  <si>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</si>
  <si>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</si>
  <si>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</si>
  <si>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</si>
  <si>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</si>
  <si>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</si>
  <si>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</si>
  <si>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</si>
  <si>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</si>
  <si>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</si>
  <si>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</si>
  <si>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</si>
  <si>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</si>
  <si>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</si>
  <si>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</si>
  <si>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</si>
  <si>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</si>
  <si>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</si>
  <si>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</si>
  <si>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</si>
  <si>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</si>
  <si>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</si>
  <si>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</si>
  <si>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</si>
  <si>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</si>
  <si>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</si>
  <si>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</si>
  <si>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</si>
  <si>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</si>
  <si>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</si>
  <si>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</si>
  <si>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</si>
  <si>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</si>
  <si>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</si>
  <si>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</si>
  <si>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</si>
  <si>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</si>
  <si>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</si>
  <si>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</si>
  <si>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</si>
  <si>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</si>
  <si>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</si>
  <si>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</si>
  <si>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</si>
  <si>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</si>
  <si>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</si>
  <si>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</si>
  <si>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</si>
  <si>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</si>
  <si>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</si>
  <si>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</si>
  <si>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</si>
  <si>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</si>
  <si>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</si>
  <si>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</si>
  <si>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</si>
  <si>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</si>
  <si>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</si>
  <si>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</si>
  <si>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</si>
  <si>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</si>
  <si>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</si>
  <si>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</si>
  <si>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</si>
  <si>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</si>
  <si>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</si>
  <si>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</si>
  <si>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</si>
  <si>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</si>
  <si>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</si>
  <si>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</si>
  <si>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</si>
  <si>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</si>
  <si>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</si>
  <si>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</si>
  <si>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</si>
  <si>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</si>
  <si>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</si>
  <si>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</si>
  <si>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</si>
  <si>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</si>
  <si>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</si>
  <si>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</si>
  <si>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</si>
  <si>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</si>
  <si>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</si>
  <si>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</si>
  <si>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</si>
  <si>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</si>
  <si>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</si>
  <si>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</si>
  <si>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</si>
  <si>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</si>
  <si>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</si>
  <si>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</si>
  <si>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</si>
  <si>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</si>
  <si>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</si>
  <si>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</si>
  <si>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</si>
  <si>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</si>
  <si>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</si>
  <si>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</si>
  <si>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</si>
  <si>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</si>
  <si>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</si>
  <si>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</si>
  <si>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</si>
  <si>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</si>
  <si>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</si>
  <si>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</si>
  <si>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</si>
  <si>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</si>
  <si>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</si>
  <si>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</si>
  <si>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</si>
  <si>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</si>
  <si>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</si>
  <si>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</si>
  <si>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</si>
  <si>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</si>
  <si>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</si>
  <si>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</si>
  <si>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</si>
  <si>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</si>
  <si>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</si>
  <si>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</si>
  <si>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</si>
  <si>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</si>
  <si>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</si>
  <si>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</si>
  <si>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</si>
  <si>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</si>
  <si>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</si>
  <si>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</si>
  <si>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</si>
  <si>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</si>
  <si>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</si>
  <si>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</si>
  <si>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</si>
  <si>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</si>
  <si>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</si>
  <si>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</si>
  <si>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</si>
  <si>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</si>
  <si>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</si>
  <si>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</si>
  <si>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</si>
  <si>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</si>
  <si>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</si>
  <si>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</si>
  <si>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</si>
  <si>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</si>
  <si>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</si>
  <si>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</si>
  <si>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</si>
  <si>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</si>
  <si>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</si>
  <si>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</si>
  <si>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</si>
  <si>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</si>
  <si>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</si>
  <si>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</si>
  <si>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</si>
  <si>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</si>
  <si>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</si>
  <si>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</si>
  <si>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</si>
  <si>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</si>
  <si>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</si>
  <si>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</si>
  <si>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</si>
  <si>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</si>
  <si>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</si>
  <si>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</si>
  <si>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</si>
  <si>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</si>
  <si>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</si>
  <si>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</si>
  <si>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</si>
  <si>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</si>
  <si>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</si>
  <si>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</si>
  <si>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</si>
  <si>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</si>
  <si>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</si>
  <si>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</si>
  <si>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</si>
  <si>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</si>
  <si>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</si>
  <si>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</si>
  <si>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</si>
  <si>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</si>
  <si>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</si>
  <si>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</si>
  <si>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</si>
  <si>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</si>
  <si>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</si>
  <si>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</si>
  <si>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</si>
  <si>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</si>
  <si>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</si>
  <si>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</si>
  <si>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</si>
  <si>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</si>
  <si>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</si>
  <si>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</si>
  <si>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</si>
  <si>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</si>
  <si>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</si>
  <si>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</si>
  <si>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</si>
  <si>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</si>
  <si>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</si>
  <si>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</si>
  <si>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</si>
  <si>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</si>
  <si>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</si>
  <si>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</si>
  <si>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</si>
  <si>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</si>
  <si>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</si>
  <si>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</si>
  <si>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</si>
  <si>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</si>
  <si>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</si>
  <si>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</si>
  <si>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</si>
  <si>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</si>
  <si>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</si>
  <si>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</si>
  <si>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</si>
  <si>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</si>
  <si>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</si>
  <si>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</si>
  <si>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</si>
  <si>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</si>
  <si>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</si>
  <si>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</si>
  <si>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</si>
  <si>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</si>
  <si>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</si>
  <si>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</si>
  <si>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</si>
  <si>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</si>
  <si>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</si>
  <si>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</si>
  <si>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</si>
  <si>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</si>
  <si>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</si>
  <si>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</si>
  <si>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</si>
  <si>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</si>
  <si>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</si>
  <si>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</si>
  <si>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</si>
  <si>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</si>
  <si>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</si>
  <si>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</si>
  <si>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</si>
  <si>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</si>
  <si>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</si>
  <si>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</si>
  <si>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</si>
  <si>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</si>
  <si>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</si>
  <si>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</si>
  <si>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</si>
  <si>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</si>
  <si>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</si>
  <si>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</si>
  <si>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</si>
  <si>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</si>
  <si>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</si>
  <si>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</si>
  <si>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</si>
  <si>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</si>
  <si>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</si>
  <si>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</si>
  <si>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</si>
  <si>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</si>
  <si>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</si>
  <si>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</si>
  <si>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</si>
  <si>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</si>
  <si>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</si>
  <si>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</si>
  <si>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</si>
  <si>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</si>
  <si>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</si>
  <si>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</si>
  <si>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</si>
  <si>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</si>
  <si>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</si>
  <si>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</si>
  <si>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</si>
  <si>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</si>
  <si>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</si>
  <si>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</si>
  <si>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</si>
  <si>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</si>
  <si>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</si>
  <si>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</si>
  <si>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</si>
  <si>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</si>
  <si>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</si>
  <si>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</si>
  <si>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</si>
  <si>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</si>
  <si>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</si>
  <si>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</si>
  <si>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</si>
  <si>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</si>
  <si>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</si>
  <si>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</si>
  <si>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</si>
  <si>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</si>
  <si>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</si>
  <si>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</si>
  <si>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</si>
  <si>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</si>
  <si>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</si>
  <si>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</si>
  <si>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</si>
  <si>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</si>
  <si>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</si>
  <si>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</si>
  <si>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</si>
  <si>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</si>
  <si>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</si>
  <si>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</si>
  <si>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</si>
  <si>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</si>
  <si>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</si>
  <si>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</si>
  <si>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</si>
  <si>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</si>
  <si>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</si>
  <si>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</si>
  <si>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</si>
  <si>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</si>
  <si>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</si>
  <si>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</si>
  <si>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</si>
  <si>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</si>
  <si>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</si>
  <si>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</si>
  <si>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</si>
  <si>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</si>
  <si>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</si>
  <si>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</si>
  <si>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</si>
  <si>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</si>
  <si>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</si>
  <si>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</si>
  <si>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</si>
  <si>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</si>
  <si>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</si>
  <si>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</si>
  <si>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</si>
  <si>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</si>
  <si>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</si>
  <si>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</si>
  <si>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</si>
  <si>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</si>
  <si>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</si>
  <si>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</si>
  <si>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</si>
  <si>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</si>
  <si>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</si>
  <si>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</si>
  <si>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</si>
  <si>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</si>
  <si>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</si>
  <si>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</si>
  <si>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</si>
  <si>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</si>
  <si>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</si>
  <si>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</si>
  <si>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</si>
  <si>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</si>
  <si>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</si>
  <si>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</si>
  <si>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</si>
  <si>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</si>
  <si>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</si>
  <si>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</si>
  <si>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</si>
  <si>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</si>
  <si>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</si>
  <si>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</si>
  <si>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</si>
  <si>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</si>
  <si>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</si>
  <si>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</si>
  <si>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</si>
  <si>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</si>
  <si>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</si>
  <si>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</si>
  <si>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</si>
  <si>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</si>
  <si>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</si>
  <si>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</si>
  <si>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</si>
  <si>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</si>
  <si>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</si>
  <si>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</si>
  <si>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</si>
  <si>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</si>
  <si>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</si>
  <si>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</si>
  <si>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</si>
  <si>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</si>
  <si>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</si>
  <si>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</si>
  <si>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</si>
  <si>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</si>
  <si>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</si>
  <si>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</si>
  <si>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</si>
  <si>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</si>
  <si>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</si>
  <si>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</si>
  <si>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</si>
  <si>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</si>
  <si>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</si>
  <si>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</si>
  <si>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</si>
  <si>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</si>
  <si>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</si>
  <si>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</si>
  <si>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</si>
  <si>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</si>
  <si>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</si>
  <si>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</si>
  <si>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</si>
  <si>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</si>
  <si>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</si>
  <si>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</si>
  <si>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</si>
  <si>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</si>
  <si>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</si>
  <si>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</si>
  <si>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</si>
  <si>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</si>
  <si>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</si>
  <si>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</si>
  <si>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</si>
  <si>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</si>
  <si>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</si>
  <si>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</si>
  <si>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</si>
  <si>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</si>
  <si>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</si>
  <si>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</si>
  <si>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</si>
  <si>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</si>
  <si>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</si>
  <si>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</si>
  <si>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</si>
  <si>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</si>
  <si>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</si>
  <si>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</si>
  <si>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</si>
  <si>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</si>
  <si>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</si>
  <si>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</si>
  <si>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</si>
  <si>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</si>
  <si>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</si>
  <si>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</si>
  <si>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</si>
  <si>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</si>
  <si>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</si>
  <si>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</si>
  <si>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</si>
  <si>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</si>
  <si>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</si>
  <si>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</si>
  <si>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</si>
  <si>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</si>
  <si>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</si>
  <si>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</si>
  <si>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</si>
  <si>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</si>
  <si>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</si>
  <si>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</si>
  <si>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</si>
  <si>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</si>
  <si>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</si>
  <si>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</si>
  <si>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</si>
  <si>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</si>
  <si>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</si>
  <si>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</si>
  <si>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</si>
  <si>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</si>
  <si>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</si>
  <si>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</si>
  <si>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</si>
  <si>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</si>
  <si>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</si>
  <si>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</si>
  <si>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</si>
  <si>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</si>
  <si>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</si>
  <si>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</si>
  <si>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</si>
  <si>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</si>
  <si>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</si>
  <si>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</si>
  <si>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</si>
  <si>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</si>
  <si>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</si>
  <si>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</si>
  <si>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</si>
  <si>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</si>
  <si>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</si>
  <si>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</si>
  <si>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</si>
  <si>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</si>
  <si>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</si>
  <si>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</si>
  <si>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</si>
  <si>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</si>
  <si>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</si>
  <si>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</si>
  <si>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</si>
  <si>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</si>
  <si>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</si>
  <si>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</si>
  <si>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</si>
  <si>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</si>
  <si>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</si>
  <si>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</si>
  <si>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</si>
  <si>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</si>
  <si>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</si>
  <si>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</si>
  <si>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</si>
  <si>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</si>
  <si>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</si>
  <si>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</si>
  <si>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</si>
  <si>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</si>
  <si>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</si>
  <si>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</si>
  <si>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</si>
  <si>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</si>
  <si>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</si>
  <si>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</si>
  <si>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</si>
  <si>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</si>
  <si>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</si>
  <si>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</si>
  <si>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</si>
  <si>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</si>
  <si>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</si>
  <si>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</si>
  <si>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</si>
  <si>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</si>
  <si>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</si>
  <si>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</si>
  <si>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</si>
  <si>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</si>
  <si>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</si>
  <si>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</si>
  <si>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</si>
  <si>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</si>
  <si>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</si>
  <si>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</si>
  <si>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</si>
  <si>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</si>
  <si>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</si>
  <si>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</si>
  <si>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</si>
  <si>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</si>
  <si>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</si>
  <si>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</si>
  <si>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</si>
  <si>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</si>
  <si>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</si>
  <si>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</si>
  <si>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</si>
  <si>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</si>
  <si>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</si>
  <si>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</si>
  <si>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</si>
  <si>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</si>
  <si>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</si>
  <si>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</si>
  <si>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</si>
  <si>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</si>
  <si>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</si>
  <si>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</si>
  <si>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</si>
  <si>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</si>
  <si>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</si>
  <si>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</si>
  <si>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</si>
  <si>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</si>
  <si>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</si>
  <si>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</si>
  <si>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</si>
  <si>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</si>
  <si>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</si>
  <si>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</si>
  <si>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</si>
  <si>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</si>
  <si>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</si>
  <si>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</si>
  <si>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</si>
  <si>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</si>
  <si>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</si>
  <si>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</si>
  <si>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</si>
  <si>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</si>
  <si>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</si>
  <si>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</si>
  <si>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</si>
  <si>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</si>
  <si>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</si>
  <si>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</si>
  <si>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</si>
  <si>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</si>
  <si>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</si>
  <si>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</si>
  <si>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</si>
  <si>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</si>
  <si>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</si>
  <si>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</si>
  <si>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</si>
  <si>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</si>
  <si>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</si>
  <si>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</si>
  <si>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</si>
  <si>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</si>
  <si>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</si>
  <si>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</si>
  <si>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</si>
  <si>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</si>
  <si>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</si>
  <si>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</si>
  <si>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</si>
  <si>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</si>
  <si>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</si>
  <si>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</si>
  <si>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</si>
  <si>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</si>
  <si>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</si>
  <si>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</si>
  <si>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</si>
  <si>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</si>
  <si>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</si>
  <si>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</si>
  <si>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</si>
  <si>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</si>
  <si>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</si>
  <si>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</si>
  <si>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</si>
  <si>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</si>
  <si>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</si>
  <si>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</si>
  <si>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</si>
  <si>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</si>
  <si>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</si>
  <si>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</si>
  <si>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</si>
  <si>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</si>
  <si>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</si>
  <si>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</si>
  <si>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</si>
  <si>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</si>
  <si>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</si>
  <si>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</si>
  <si>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</si>
  <si>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</si>
  <si>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</si>
  <si>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</si>
  <si>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</si>
  <si>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</si>
  <si>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</si>
  <si>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</si>
  <si>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</si>
  <si>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</si>
  <si>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</si>
  <si>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</si>
  <si>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</si>
  <si>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</si>
  <si>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</si>
  <si>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</si>
  <si>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</si>
  <si>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</si>
  <si>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</si>
  <si>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</si>
  <si>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</si>
  <si>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</si>
  <si>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</si>
  <si>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</si>
  <si>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</si>
  <si>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</si>
  <si>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</si>
  <si>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</si>
  <si>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</si>
  <si>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</si>
  <si>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</si>
  <si>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</si>
  <si>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</si>
  <si>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</si>
  <si>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</si>
  <si>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</si>
  <si>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</si>
  <si>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</si>
  <si>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</si>
  <si>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</si>
  <si>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</si>
  <si>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</si>
  <si>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</si>
  <si>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</si>
  <si>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</si>
  <si>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</si>
  <si>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</si>
  <si>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</si>
  <si>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</si>
  <si>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</si>
  <si>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</si>
  <si>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</si>
  <si>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</si>
  <si>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</si>
  <si>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</si>
  <si>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</si>
  <si>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</si>
  <si>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</si>
  <si>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</si>
  <si>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</si>
  <si>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</si>
  <si>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</si>
  <si>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</si>
  <si>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</si>
  <si>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</si>
  <si>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</si>
  <si>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</si>
  <si>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</si>
  <si>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</si>
  <si>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</si>
  <si>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</si>
  <si>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</si>
  <si>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</si>
  <si>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</si>
  <si>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</si>
  <si>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</si>
  <si>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</si>
  <si>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</si>
  <si>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</si>
  <si>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</si>
  <si>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</si>
  <si>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</si>
  <si>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</si>
  <si>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</si>
  <si>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</si>
  <si>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</si>
  <si>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</si>
  <si>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</si>
  <si>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</si>
  <si>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</si>
  <si>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</si>
  <si>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</si>
  <si>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</si>
  <si>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</si>
  <si>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</si>
  <si>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</si>
  <si>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</si>
  <si>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</si>
  <si>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</si>
  <si>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</si>
  <si>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</si>
  <si>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</si>
  <si>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</si>
  <si>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</si>
  <si>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</si>
  <si>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</si>
  <si>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</si>
  <si>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</si>
  <si>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</si>
  <si>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</si>
  <si>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</si>
  <si>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</si>
  <si>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</si>
  <si>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</si>
  <si>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</si>
  <si>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</si>
  <si>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</si>
  <si>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</si>
  <si>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</si>
  <si>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</si>
  <si>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</si>
  <si>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</si>
  <si>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</si>
  <si>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</si>
  <si>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</si>
  <si>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</si>
  <si>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</si>
  <si>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</si>
  <si>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</si>
  <si>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</si>
  <si>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</si>
  <si>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</si>
  <si>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</si>
  <si>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</si>
  <si>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</si>
  <si>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</si>
  <si>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</si>
  <si>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</si>
  <si>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</si>
  <si>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</si>
  <si>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</si>
  <si>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</si>
  <si>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</si>
  <si>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</si>
  <si>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</si>
  <si>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</si>
  <si>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</si>
  <si>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</si>
  <si>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</si>
  <si>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</si>
  <si>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</si>
  <si>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</si>
  <si>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</si>
  <si>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</si>
  <si>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</si>
  <si>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</si>
  <si>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</si>
  <si>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</si>
  <si>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</si>
  <si>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</si>
  <si>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</si>
  <si>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</si>
  <si>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</si>
  <si>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</si>
  <si>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</si>
  <si>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</si>
  <si>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</si>
  <si>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</si>
  <si>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</si>
  <si>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</si>
  <si>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</si>
  <si>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</si>
  <si>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</si>
  <si>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</si>
  <si>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</si>
  <si>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</si>
  <si>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</si>
  <si>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</si>
  <si>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</si>
  <si>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</si>
  <si>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</si>
  <si>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</si>
  <si>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</si>
  <si>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</si>
  <si>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</si>
  <si>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</si>
  <si>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</si>
  <si>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</si>
  <si>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</si>
  <si>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</si>
  <si>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</si>
  <si>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</si>
  <si>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</si>
  <si>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</si>
  <si>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</si>
  <si>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</si>
  <si>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</si>
  <si>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</si>
  <si>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</si>
  <si>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</si>
  <si>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</si>
  <si>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</si>
  <si>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</si>
  <si>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</si>
  <si>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</si>
  <si>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</si>
  <si>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</si>
  <si>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</si>
  <si>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</si>
  <si>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</si>
  <si>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</si>
  <si>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</si>
  <si>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</si>
  <si>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</si>
  <si>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</si>
  <si>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</si>
  <si>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</si>
  <si>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</si>
  <si>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</si>
  <si>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</si>
  <si>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</si>
  <si>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</si>
  <si>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</si>
  <si>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</si>
  <si>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</si>
  <si>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</si>
  <si>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</si>
  <si>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</si>
  <si>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</si>
  <si>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</si>
  <si>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</si>
  <si>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</si>
  <si>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</si>
  <si>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</si>
  <si>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</si>
  <si>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</si>
  <si>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</si>
  <si>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</si>
  <si>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</si>
  <si>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</si>
  <si>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</si>
  <si>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</si>
  <si>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</si>
  <si>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</si>
  <si>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</si>
  <si>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</si>
  <si>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</si>
  <si>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</si>
  <si>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</si>
  <si>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</si>
  <si>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</si>
  <si>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</si>
  <si>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</si>
  <si>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</si>
  <si>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</si>
  <si>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</si>
  <si>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</si>
  <si>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</si>
  <si>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</si>
  <si>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</si>
  <si>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</si>
  <si>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</si>
  <si>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</si>
  <si>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</si>
  <si>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</si>
  <si>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</si>
  <si>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</si>
  <si>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</si>
  <si>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</si>
  <si>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</si>
  <si>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</si>
  <si>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</si>
  <si>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</si>
  <si>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</si>
  <si>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</si>
  <si>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</si>
  <si>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</si>
  <si>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</si>
  <si>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</si>
  <si>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</si>
  <si>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</si>
  <si>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</si>
  <si>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</si>
  <si>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</si>
  <si>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</si>
  <si>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</si>
  <si>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</si>
  <si>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</si>
  <si>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</si>
  <si>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</si>
  <si>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</si>
  <si>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</si>
  <si>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</si>
  <si>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</si>
  <si>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</si>
  <si>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</si>
  <si>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</si>
  <si>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</si>
  <si>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</si>
  <si>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</si>
  <si>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</si>
  <si>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</si>
  <si>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</si>
  <si>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</si>
  <si>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</si>
  <si>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</si>
  <si>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</si>
  <si>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</si>
  <si>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</si>
  <si>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</si>
  <si>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</si>
  <si>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</si>
  <si>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</si>
  <si>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</si>
  <si>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</si>
  <si>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</si>
  <si>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</si>
  <si>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</si>
  <si>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</si>
  <si>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</si>
  <si>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</si>
  <si>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</si>
  <si>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</si>
  <si>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</si>
  <si>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</si>
  <si>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</si>
  <si>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</si>
  <si>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</si>
  <si>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</si>
  <si>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</si>
  <si>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</si>
  <si>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</si>
  <si>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</si>
  <si>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</si>
  <si>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</si>
  <si>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</si>
  <si>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</si>
  <si>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</si>
  <si>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</si>
  <si>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</si>
  <si>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</si>
  <si>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</si>
  <si>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</si>
  <si>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</si>
  <si>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</si>
  <si>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</si>
  <si>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</si>
  <si>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</si>
  <si>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</si>
  <si>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</si>
  <si>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</si>
  <si>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</si>
  <si>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</si>
  <si>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</si>
  <si>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</si>
  <si>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</si>
  <si>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</si>
  <si>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</si>
  <si>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</si>
  <si>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</si>
  <si>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</si>
  <si>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</si>
  <si>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</si>
  <si>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</si>
  <si>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</si>
  <si>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</si>
  <si>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</si>
  <si>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</si>
  <si>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</si>
  <si>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</si>
  <si>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</si>
  <si>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</si>
  <si>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</si>
  <si>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</si>
  <si>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</si>
  <si>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</si>
  <si>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</si>
  <si>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</si>
  <si>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</si>
  <si>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</si>
  <si>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</si>
  <si>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</si>
  <si>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</si>
  <si>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</si>
  <si>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</si>
  <si>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</si>
  <si>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</si>
  <si>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</si>
  <si>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</si>
  <si>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</si>
  <si>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</si>
  <si>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</si>
  <si>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</si>
  <si>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</si>
  <si>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</si>
  <si>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</si>
  <si>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</si>
  <si>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</si>
  <si>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</si>
  <si>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</si>
  <si>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</si>
  <si>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</si>
  <si>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</si>
  <si>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</si>
  <si>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</si>
  <si>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</si>
  <si>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</si>
  <si>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</si>
  <si>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</si>
  <si>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</si>
  <si>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</si>
  <si>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</si>
  <si>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</si>
  <si>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</si>
  <si>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</si>
  <si>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</si>
  <si>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</si>
  <si>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</si>
  <si>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</si>
  <si>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</si>
  <si>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</si>
  <si>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</si>
  <si>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</si>
  <si>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</si>
  <si>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</si>
  <si>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</si>
  <si>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</si>
  <si>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</si>
  <si>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</si>
  <si>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</si>
  <si>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</si>
  <si>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</si>
  <si>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</si>
  <si>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</si>
  <si>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</si>
  <si>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</si>
  <si>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</si>
  <si>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</si>
  <si>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</si>
  <si>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</si>
  <si>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</si>
  <si>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</si>
  <si>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</si>
  <si>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</si>
  <si>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</si>
  <si>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</si>
  <si>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</si>
  <si>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</si>
  <si>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</si>
  <si>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</si>
  <si>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Ellen M Chryss</t>
  </si>
  <si>
    <t>Contract Administrator</t>
  </si>
  <si>
    <t>Structural Services of New York</t>
  </si>
  <si>
    <t>PO Box 30937</t>
  </si>
  <si>
    <t>Rochester, NY 14607</t>
  </si>
  <si>
    <t xml:space="preserve">OGS SB818 - NYS Fairgrounds Exposition Building </t>
  </si>
  <si>
    <t>Subcontractor Reference Number 179998 Concrete</t>
  </si>
  <si>
    <t>Construction Laborers</t>
  </si>
  <si>
    <t>47-2061</t>
  </si>
  <si>
    <t>Operating Engineers and Other Construction Equipment Operators</t>
  </si>
  <si>
    <t>Carpenters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</si>
</sst>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5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0" fillId="3" borderId="0" xfId="0" applyFill="1" applyBorder="1" applyProtection="1"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14" fontId="11" fillId="4" borderId="1" xfId="0" applyNumberFormat="1" applyFont="1" applyFill="1" applyBorder="1" applyAlignment="1" applyProtection="1">
      <alignment horizontal="center"/>
      <protection locked="0"/>
    </xf>
    <xf numFmtId="14" fontId="11" fillId="4" borderId="24" xfId="0" applyNumberFormat="1" applyFont="1" applyFill="1" applyBorder="1" applyAlignment="1" applyProtection="1">
      <alignment horizontal="center"/>
      <protection locked="0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26</xdr:col>
          <xdr:colOff>22860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70" zoomScaleNormal="70" zoomScalePageLayoutView="96" workbookViewId="0">
      <selection activeCell="AG12" sqref="AG12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14.88671875" bestFit="1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3" t="s">
        <v>322</v>
      </c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2" t="s">
        <v>321</v>
      </c>
      <c r="J5" s="172"/>
      <c r="K5" s="172"/>
      <c r="L5" s="172"/>
      <c r="M5" s="172"/>
      <c r="N5" s="172"/>
      <c r="O5" s="172"/>
      <c r="P5" s="172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87" t="s">
        <v>1835</v>
      </c>
      <c r="Y7" s="188"/>
      <c r="Z7" s="188"/>
      <c r="AA7" s="136"/>
      <c r="AB7" s="136"/>
      <c r="AC7" s="136"/>
      <c r="AD7" s="136"/>
      <c r="AE7" s="137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53" t="s">
        <v>1837</v>
      </c>
      <c r="E8" s="153"/>
      <c r="F8" s="153"/>
      <c r="G8" s="70"/>
      <c r="H8" s="41"/>
      <c r="I8" s="165"/>
      <c r="J8" s="183"/>
      <c r="K8" s="166"/>
      <c r="L8" s="165"/>
      <c r="M8" s="166"/>
      <c r="N8" s="130">
        <v>2018</v>
      </c>
      <c r="O8" s="165"/>
      <c r="P8" s="166"/>
      <c r="Q8" s="131"/>
      <c r="R8" s="38"/>
      <c r="S8" s="43" t="s">
        <v>7</v>
      </c>
      <c r="T8" s="115"/>
      <c r="U8" s="53"/>
      <c r="V8" s="2"/>
      <c r="W8" s="2"/>
      <c r="X8" s="178" t="s">
        <v>1836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53" t="s">
        <v>1838</v>
      </c>
      <c r="E9" s="153"/>
      <c r="F9" s="153"/>
      <c r="G9" s="70"/>
      <c r="H9" s="41"/>
      <c r="I9" s="165"/>
      <c r="J9" s="183"/>
      <c r="K9" s="166"/>
      <c r="L9" s="165"/>
      <c r="M9" s="166"/>
      <c r="N9" s="130"/>
      <c r="O9" s="165"/>
      <c r="P9" s="166"/>
      <c r="Q9" s="131"/>
      <c r="R9" s="38"/>
      <c r="S9" s="43" t="s">
        <v>8</v>
      </c>
      <c r="T9" s="115"/>
      <c r="U9" s="70"/>
      <c r="V9" s="2"/>
      <c r="W9" s="2"/>
      <c r="X9" s="185">
        <v>43189</v>
      </c>
      <c r="Y9" s="1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1839</v>
      </c>
      <c r="E10" s="32"/>
      <c r="F10" s="32"/>
      <c r="G10" s="70"/>
      <c r="H10" s="41"/>
      <c r="I10" s="154"/>
      <c r="J10" s="154"/>
      <c r="K10" s="154"/>
      <c r="L10" s="154"/>
      <c r="M10" s="154"/>
      <c r="N10" s="126"/>
      <c r="O10" s="154"/>
      <c r="P10" s="15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69"/>
      <c r="E11" s="170"/>
      <c r="F11" s="171"/>
      <c r="G11" s="53"/>
      <c r="H11" s="41"/>
      <c r="I11" s="154"/>
      <c r="J11" s="154"/>
      <c r="K11" s="154"/>
      <c r="L11" s="154"/>
      <c r="M11" s="154"/>
      <c r="N11" s="126"/>
      <c r="O11" s="154"/>
      <c r="P11" s="15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74"/>
      <c r="E13" s="175"/>
      <c r="F13" s="176"/>
      <c r="G13" s="114"/>
      <c r="H13" s="41"/>
      <c r="I13" s="164" t="s">
        <v>5</v>
      </c>
      <c r="J13" s="164"/>
      <c r="K13" s="164"/>
      <c r="L13" s="164"/>
      <c r="M13" s="164"/>
      <c r="N13" s="164"/>
      <c r="O13" s="164"/>
      <c r="P13" s="164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3" t="s">
        <v>1840</v>
      </c>
      <c r="E14" s="153"/>
      <c r="F14" s="153"/>
      <c r="G14" s="70"/>
      <c r="H14" s="41"/>
      <c r="I14" s="154"/>
      <c r="J14" s="154"/>
      <c r="K14" s="154"/>
      <c r="L14" s="154"/>
      <c r="M14" s="154"/>
      <c r="N14" s="154"/>
      <c r="O14" s="154"/>
      <c r="P14" s="15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138" t="s">
        <v>1841</v>
      </c>
      <c r="E15" s="41"/>
      <c r="F15" s="41"/>
      <c r="G15" s="41"/>
      <c r="H15" s="41"/>
      <c r="I15" s="154"/>
      <c r="J15" s="154"/>
      <c r="K15" s="154"/>
      <c r="L15" s="154"/>
      <c r="M15" s="154"/>
      <c r="N15" s="154"/>
      <c r="O15" s="154"/>
      <c r="P15" s="15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5" t="s">
        <v>11</v>
      </c>
      <c r="D18" s="167" t="s">
        <v>9</v>
      </c>
      <c r="E18" s="155" t="s">
        <v>10</v>
      </c>
      <c r="F18" s="159" t="s">
        <v>1825</v>
      </c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1"/>
      <c r="AJ18" s="2"/>
      <c r="AK18" s="2"/>
    </row>
    <row r="19" spans="1:37" ht="46.5" customHeight="1" thickBot="1" x14ac:dyDescent="0.35">
      <c r="A19" s="2"/>
      <c r="B19" s="2"/>
      <c r="C19" s="156"/>
      <c r="D19" s="168"/>
      <c r="E19" s="156"/>
      <c r="F19" s="157" t="s">
        <v>1</v>
      </c>
      <c r="G19" s="157"/>
      <c r="H19" s="157"/>
      <c r="I19" s="157"/>
      <c r="J19" s="157"/>
      <c r="K19" s="158"/>
      <c r="L19" s="162" t="s">
        <v>13</v>
      </c>
      <c r="M19" s="157"/>
      <c r="N19" s="157"/>
      <c r="O19" s="157"/>
      <c r="P19" s="157"/>
      <c r="Q19" s="158"/>
      <c r="R19" s="162" t="s">
        <v>12</v>
      </c>
      <c r="S19" s="157"/>
      <c r="T19" s="157"/>
      <c r="U19" s="157"/>
      <c r="V19" s="157"/>
      <c r="W19" s="158"/>
      <c r="X19" s="189" t="s">
        <v>1826</v>
      </c>
      <c r="Y19" s="190"/>
      <c r="Z19" s="190"/>
      <c r="AA19" s="190"/>
      <c r="AB19" s="190"/>
      <c r="AC19" s="191"/>
      <c r="AD19" s="145" t="s">
        <v>14</v>
      </c>
      <c r="AE19" s="146"/>
      <c r="AF19" s="146"/>
      <c r="AG19" s="146"/>
      <c r="AH19" s="146"/>
      <c r="AI19" s="147"/>
      <c r="AJ19" s="2"/>
      <c r="AK19" s="2"/>
    </row>
    <row r="20" spans="1:37" ht="15" thickBot="1" x14ac:dyDescent="0.35">
      <c r="A20" s="2"/>
      <c r="B20" s="2"/>
      <c r="C20" s="156"/>
      <c r="D20" s="168"/>
      <c r="E20" s="156"/>
      <c r="F20" s="151" t="s">
        <v>2</v>
      </c>
      <c r="G20" s="151"/>
      <c r="H20" s="152"/>
      <c r="I20" s="150" t="s">
        <v>3</v>
      </c>
      <c r="J20" s="151"/>
      <c r="K20" s="152"/>
      <c r="L20" s="150" t="s">
        <v>2</v>
      </c>
      <c r="M20" s="151"/>
      <c r="N20" s="152"/>
      <c r="O20" s="150" t="s">
        <v>3</v>
      </c>
      <c r="P20" s="151"/>
      <c r="Q20" s="152"/>
      <c r="R20" s="150" t="s">
        <v>2</v>
      </c>
      <c r="S20" s="151"/>
      <c r="T20" s="152"/>
      <c r="U20" s="150" t="s">
        <v>3</v>
      </c>
      <c r="V20" s="151"/>
      <c r="W20" s="152"/>
      <c r="X20" s="150" t="s">
        <v>2</v>
      </c>
      <c r="Y20" s="151"/>
      <c r="Z20" s="152"/>
      <c r="AA20" s="150" t="s">
        <v>3</v>
      </c>
      <c r="AB20" s="151"/>
      <c r="AC20" s="152"/>
      <c r="AD20" s="150" t="s">
        <v>2</v>
      </c>
      <c r="AE20" s="151"/>
      <c r="AF20" s="152"/>
      <c r="AG20" s="150" t="s">
        <v>3</v>
      </c>
      <c r="AH20" s="151"/>
      <c r="AI20" s="152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320</v>
      </c>
      <c r="D22" s="91" t="s">
        <v>1842</v>
      </c>
      <c r="E22" s="92" t="s">
        <v>1843</v>
      </c>
      <c r="F22" s="96">
        <v>9</v>
      </c>
      <c r="G22" s="96">
        <v>1798.5</v>
      </c>
      <c r="H22" s="94">
        <v>54422.33</v>
      </c>
      <c r="I22" s="96"/>
      <c r="J22" s="96"/>
      <c r="K22" s="94"/>
      <c r="L22" s="97"/>
      <c r="M22" s="97"/>
      <c r="N22" s="116"/>
      <c r="O22" s="97"/>
      <c r="P22" s="97"/>
      <c r="Q22" s="116"/>
      <c r="R22" s="98">
        <v>2</v>
      </c>
      <c r="S22" s="98">
        <v>387</v>
      </c>
      <c r="T22" s="118">
        <v>10430.200000000001</v>
      </c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31.8" thickBot="1" x14ac:dyDescent="0.35">
      <c r="A23" s="2"/>
      <c r="B23" s="2"/>
      <c r="C23" s="33" t="s">
        <v>319</v>
      </c>
      <c r="D23" s="33" t="s">
        <v>1844</v>
      </c>
      <c r="E23" s="92" t="str">
        <f>IF(ISERROR(VLOOKUP(D23,Sheet3!$A$2:$B$821,2,FALSE)),"",(VLOOKUP(D23,Sheet3!$A$2:$B$821,2,FALSE)))</f>
        <v>47-2073</v>
      </c>
      <c r="F23" s="96">
        <v>1</v>
      </c>
      <c r="G23" s="96">
        <v>204.5</v>
      </c>
      <c r="H23" s="94">
        <v>8500.83</v>
      </c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 t="s">
        <v>319</v>
      </c>
      <c r="D24" s="33" t="s">
        <v>1845</v>
      </c>
      <c r="E24" s="92" t="str">
        <f>IF(ISERROR(VLOOKUP(D24,Sheet3!$A$2:$B$821,2,FALSE)),"",(VLOOKUP(D24,Sheet3!$A$2:$B$821,2,FALSE)))</f>
        <v>47-2031</v>
      </c>
      <c r="F24" s="96">
        <v>16</v>
      </c>
      <c r="G24" s="96">
        <v>2685</v>
      </c>
      <c r="H24" s="94">
        <v>86877.34</v>
      </c>
      <c r="I24" s="96">
        <v>1</v>
      </c>
      <c r="J24" s="96">
        <v>40</v>
      </c>
      <c r="K24" s="94">
        <v>1207.8</v>
      </c>
      <c r="L24" s="97"/>
      <c r="M24" s="97"/>
      <c r="N24" s="116"/>
      <c r="O24" s="97"/>
      <c r="P24" s="97"/>
      <c r="Q24" s="116"/>
      <c r="R24" s="98">
        <v>1</v>
      </c>
      <c r="S24" s="98">
        <v>20</v>
      </c>
      <c r="T24" s="118">
        <v>603.9</v>
      </c>
      <c r="U24" s="98"/>
      <c r="V24" s="98"/>
      <c r="W24" s="118"/>
      <c r="X24" s="99">
        <v>1</v>
      </c>
      <c r="Y24" s="99">
        <v>16</v>
      </c>
      <c r="Z24" s="120">
        <v>466.65</v>
      </c>
      <c r="AA24" s="99"/>
      <c r="AB24" s="99"/>
      <c r="AC24" s="120"/>
      <c r="AD24" s="100">
        <v>2</v>
      </c>
      <c r="AE24" s="100">
        <v>223.5</v>
      </c>
      <c r="AF24" s="122">
        <v>6814.52</v>
      </c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7"/>
      <c r="D38" s="177"/>
      <c r="E38" s="177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8"/>
      <c r="T38" s="148"/>
      <c r="U38" s="149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26</v>
      </c>
      <c r="G39" s="95">
        <f>SUM(G22:G37)</f>
        <v>4688</v>
      </c>
      <c r="H39" s="113">
        <f>SUM(H22:H37)</f>
        <v>149800.5</v>
      </c>
      <c r="I39" s="95">
        <f t="shared" ref="I39:AG39" si="0">SUM(I22:I37)</f>
        <v>1</v>
      </c>
      <c r="J39" s="95">
        <f t="shared" si="0"/>
        <v>40</v>
      </c>
      <c r="K39" s="113">
        <f t="shared" si="0"/>
        <v>1207.8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3</v>
      </c>
      <c r="S39" s="95">
        <f t="shared" si="0"/>
        <v>407</v>
      </c>
      <c r="T39" s="113">
        <f>SUM(T22:T37)</f>
        <v>11034.1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1</v>
      </c>
      <c r="Y39" s="95">
        <f t="shared" si="0"/>
        <v>16</v>
      </c>
      <c r="Z39" s="113">
        <f>SUM(Z22:Z37)</f>
        <v>466.65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2</v>
      </c>
      <c r="AE39" s="95">
        <f t="shared" si="0"/>
        <v>223.5</v>
      </c>
      <c r="AF39" s="113">
        <f>SUM(AF22:AF37)</f>
        <v>6814.52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3"/>
      <c r="D42" s="163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9" t="s">
        <v>1829</v>
      </c>
      <c r="D43" s="140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41"/>
      <c r="D44" s="142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41"/>
      <c r="D45" s="142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41"/>
      <c r="D46" s="142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3"/>
      <c r="D47" s="144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2">
    <mergeCell ref="X7:Z7"/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X9:Y9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scale="54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26</xdr:col>
                    <xdr:colOff>22860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40.799999999999997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ht="20.399999999999999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ht="20.399999999999999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ht="20.399999999999999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ht="20.399999999999999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30.6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30.6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ht="20.399999999999999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ht="20.399999999999999" x14ac:dyDescent="0.3">
      <c r="A618" s="63" t="s">
        <v>51</v>
      </c>
      <c r="B618" s="63" t="s">
        <v>1528</v>
      </c>
    </row>
    <row r="619" spans="1:2" ht="30.6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30.6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ht="20.399999999999999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2018-04-02T18:56:41Z</cp:lastPrinted>
  <dcterms:created xsi:type="dcterms:W3CDTF">2016-01-07T15:16:02Z</dcterms:created>
  <dcterms:modified xsi:type="dcterms:W3CDTF">2018-04-02T18:57:43Z</dcterms:modified>
</cp:coreProperties>
</file>