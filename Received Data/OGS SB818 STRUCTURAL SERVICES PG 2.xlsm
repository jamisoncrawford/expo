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U:\179996 Certified Payroll State Fair\MUR Reports\SSNY 179997\"/>
    </mc:Choice>
  </mc:AlternateContent>
  <bookViews>
    <workbookView xWindow="1230" yWindow="1110" windowWidth="26580" windowHeight="16530"/>
  </bookViews>
  <sheets>
    <sheet name="EEO-101-Construction Workforce " sheetId="1" r:id="rId1"/>
    <sheet name="Sheet1" sheetId="6" r:id="rId2"/>
    <sheet name="Sheet2" sheetId="2" state="hidden" r:id="rId3"/>
    <sheet name="Sheet3" sheetId="3" state="hidden" r:id="rId4"/>
    <sheet name="County_State" sheetId="5" state="hidden" r:id="rId5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'!$A$1:$AI$54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'!$C$5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6" i="6" l="1"/>
  <c r="D18" i="6" s="1"/>
  <c r="C16" i="6"/>
  <c r="C18" i="6" s="1"/>
  <c r="B16" i="6"/>
  <c r="B18" i="6" s="1"/>
  <c r="D15" i="6"/>
  <c r="C15" i="6"/>
  <c r="E15" i="6" s="1"/>
  <c r="B15" i="6"/>
  <c r="D14" i="6"/>
  <c r="D17" i="6" s="1"/>
  <c r="C14" i="6"/>
  <c r="C17" i="6" s="1"/>
  <c r="B14" i="6"/>
  <c r="B17" i="6" s="1"/>
  <c r="E14" i="6" l="1"/>
  <c r="E16" i="6"/>
  <c r="E17" i="6"/>
  <c r="D20" i="6" s="1"/>
  <c r="E18" i="6"/>
  <c r="AH39" i="1" l="1"/>
  <c r="AE39" i="1"/>
  <c r="AB39" i="1"/>
  <c r="Y39" i="1"/>
  <c r="V39" i="1"/>
  <c r="S39" i="1"/>
  <c r="P39" i="1"/>
  <c r="M39" i="1"/>
  <c r="AG39" i="1"/>
  <c r="G39" i="1" l="1"/>
  <c r="I39" i="1"/>
  <c r="F39" i="1"/>
  <c r="D37" i="1" l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AF39" i="1" l="1"/>
  <c r="AD39" i="1"/>
  <c r="AC39" i="1"/>
  <c r="AA39" i="1"/>
  <c r="Z39" i="1"/>
  <c r="X39" i="1"/>
  <c r="W39" i="1"/>
  <c r="U39" i="1"/>
  <c r="T39" i="1"/>
  <c r="R39" i="1"/>
  <c r="Q39" i="1"/>
  <c r="O39" i="1"/>
  <c r="N39" i="1"/>
  <c r="L39" i="1"/>
  <c r="K39" i="1"/>
  <c r="J39" i="1"/>
  <c r="H39" i="1"/>
  <c r="E39" i="1"/>
</calcChain>
</file>

<file path=xl/sharedStrings.xml><?xml version="1.0" encoding="utf-8"?>
<sst xmlns="http://schemas.openxmlformats.org/spreadsheetml/2006/main" count="2127" uniqueCount="1860">
  <si>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</si>
  <si>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</si>
  <si>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</si>
  <si>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</si>
  <si>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</si>
  <si>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</si>
  <si>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</si>
  <si>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</si>
  <si>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</si>
  <si>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</si>
  <si>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</si>
  <si>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</si>
  <si>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</si>
  <si>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</si>
  <si>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</si>
  <si>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</si>
  <si>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</si>
  <si>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</si>
  <si>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</si>
  <si>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</si>
  <si>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</si>
  <si>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</si>
  <si>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</si>
  <si>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</si>
  <si>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</si>
  <si>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</si>
  <si>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</si>
  <si>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</si>
  <si>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</si>
  <si>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</si>
  <si>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</si>
  <si>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</si>
  <si>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</si>
  <si>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</si>
  <si>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</si>
  <si>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</si>
  <si>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</si>
  <si>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</si>
  <si>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</si>
  <si>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</si>
  <si>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</si>
  <si>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</si>
  <si>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</si>
  <si>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</si>
  <si>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</si>
  <si>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</si>
  <si>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</si>
  <si>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</si>
  <si>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</si>
  <si>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</si>
  <si>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</si>
  <si>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</si>
  <si>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</si>
  <si>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</si>
  <si>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</si>
  <si>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</si>
  <si>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</si>
  <si>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</si>
  <si>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</si>
  <si>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</si>
  <si>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</si>
  <si>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</si>
  <si>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</si>
  <si>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</si>
  <si>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</si>
  <si>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</si>
  <si>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</si>
  <si>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</si>
  <si>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</si>
  <si>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</si>
  <si>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</si>
  <si>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</si>
  <si>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</si>
  <si>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</si>
  <si>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</si>
  <si>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</si>
  <si>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</si>
  <si>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</si>
  <si>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</si>
  <si>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</si>
  <si>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</si>
  <si>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</si>
  <si>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</si>
  <si>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</si>
  <si>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</si>
  <si>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</si>
  <si>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</si>
  <si>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</si>
  <si>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</si>
  <si>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</si>
  <si>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</si>
  <si>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</si>
  <si>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</si>
  <si>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</si>
  <si>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</si>
  <si>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</si>
  <si>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</si>
  <si>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</si>
  <si>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</si>
  <si>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</si>
  <si>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</si>
  <si>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</si>
  <si>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</si>
  <si>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</si>
  <si>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</si>
  <si>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</si>
  <si>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</si>
  <si>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</si>
  <si>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</si>
  <si>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</si>
  <si>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</si>
  <si>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</si>
  <si>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</si>
  <si>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</si>
  <si>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</si>
  <si>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</si>
  <si>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</si>
  <si>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</si>
  <si>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</si>
  <si>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</si>
  <si>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</si>
  <si>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</si>
  <si>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</si>
  <si>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</si>
  <si>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</si>
  <si>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</si>
  <si>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</si>
  <si>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</si>
  <si>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</si>
  <si>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</si>
  <si>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</si>
  <si>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</si>
  <si>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</si>
  <si>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</si>
  <si>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</si>
  <si>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</si>
  <si>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</si>
  <si>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</si>
  <si>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</si>
  <si>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</si>
  <si>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</si>
  <si>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</si>
  <si>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</si>
  <si>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</si>
  <si>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</si>
  <si>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</si>
  <si>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</si>
  <si>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</si>
  <si>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</si>
  <si>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</si>
  <si>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</si>
  <si>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</si>
  <si>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</si>
  <si>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</si>
  <si>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</si>
  <si>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</si>
  <si>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</si>
  <si>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</si>
  <si>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</si>
  <si>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</si>
  <si>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</si>
  <si>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</si>
  <si>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</si>
  <si>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</si>
  <si>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</si>
  <si>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</si>
  <si>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</si>
  <si>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</si>
  <si>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</si>
  <si>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</si>
  <si>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</si>
  <si>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</si>
  <si>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</si>
  <si>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</si>
  <si>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</si>
  <si>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</si>
  <si>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</si>
  <si>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</si>
  <si>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</si>
  <si>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</si>
  <si>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</si>
  <si>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</si>
  <si>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</si>
  <si>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</si>
  <si>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</si>
  <si>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</si>
  <si>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</si>
  <si>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</si>
  <si>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</si>
  <si>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</si>
  <si>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</si>
  <si>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</si>
  <si>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</si>
  <si>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</si>
  <si>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</si>
  <si>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</si>
  <si>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</si>
  <si>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</si>
  <si>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</si>
  <si>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</si>
  <si>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</si>
  <si>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</si>
  <si>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</si>
  <si>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</si>
  <si>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</si>
  <si>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</si>
  <si>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</si>
  <si>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</si>
  <si>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</si>
  <si>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</si>
  <si>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</si>
  <si>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</si>
  <si>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</si>
  <si>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</si>
  <si>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</si>
  <si>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</si>
  <si>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</si>
  <si>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</si>
  <si>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</si>
  <si>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</si>
  <si>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</si>
  <si>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</si>
  <si>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</si>
  <si>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</si>
  <si>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</si>
  <si>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</si>
  <si>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</si>
  <si>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</si>
  <si>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</si>
  <si>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</si>
  <si>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</si>
  <si>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</si>
  <si>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</si>
  <si>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</si>
  <si>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</si>
  <si>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</si>
  <si>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</si>
  <si>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</si>
  <si>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</si>
  <si>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</si>
  <si>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</si>
  <si>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</si>
  <si>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</si>
  <si>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</si>
  <si>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</si>
  <si>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</si>
  <si>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</si>
  <si>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</si>
  <si>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</si>
  <si>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</si>
  <si>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</si>
  <si>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</si>
  <si>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</si>
  <si>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</si>
  <si>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</si>
  <si>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</si>
  <si>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</si>
  <si>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</si>
  <si>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</si>
  <si>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</si>
  <si>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</si>
  <si>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</si>
  <si>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</si>
  <si>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</si>
  <si>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</si>
  <si>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</si>
  <si>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</si>
  <si>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</si>
  <si>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</si>
  <si>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</si>
  <si>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</si>
  <si>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</si>
  <si>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</si>
  <si>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</si>
  <si>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</si>
  <si>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</si>
  <si>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</si>
  <si>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</si>
  <si>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</si>
  <si>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</si>
  <si>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</si>
  <si>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</si>
  <si>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</si>
  <si>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</si>
  <si>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</si>
  <si>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</si>
  <si>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</si>
  <si>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</si>
  <si>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</si>
  <si>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</si>
  <si>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</si>
  <si>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</si>
  <si>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</si>
  <si>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</si>
  <si>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</si>
  <si>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</si>
  <si>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</si>
  <si>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</si>
  <si>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</si>
  <si>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</si>
  <si>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</si>
  <si>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</si>
  <si>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</si>
  <si>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</si>
  <si>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</si>
  <si>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</si>
  <si>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</si>
  <si>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</si>
  <si>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</si>
  <si>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</si>
  <si>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</si>
  <si>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</si>
  <si>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</si>
  <si>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</si>
  <si>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</si>
  <si>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</si>
  <si>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</si>
  <si>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</si>
  <si>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</si>
  <si>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</si>
  <si>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</si>
  <si>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</si>
  <si>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</si>
  <si>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</si>
  <si>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</si>
  <si>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</si>
  <si>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</si>
  <si>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</si>
  <si>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</si>
  <si>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</si>
  <si>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</si>
  <si>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</si>
  <si>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</si>
  <si>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</si>
  <si>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</si>
  <si>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</si>
  <si>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</si>
  <si>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</si>
  <si>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</si>
  <si>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</si>
  <si>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</si>
  <si>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</si>
  <si>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</si>
  <si>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</si>
  <si>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</si>
  <si>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</si>
  <si>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</si>
  <si>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</si>
  <si>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</si>
  <si>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</si>
  <si>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</si>
  <si>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</si>
  <si>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</si>
  <si>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</si>
  <si>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</si>
  <si>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</si>
  <si>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</si>
  <si>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</si>
  <si>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</si>
  <si>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</si>
  <si>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</si>
  <si>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</si>
  <si>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</si>
  <si>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</si>
  <si>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</si>
  <si>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</si>
  <si>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</si>
  <si>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</si>
  <si>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</si>
  <si>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</si>
  <si>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</si>
  <si>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</si>
  <si>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</si>
  <si>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</si>
  <si>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</si>
  <si>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</si>
  <si>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</si>
  <si>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</si>
  <si>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</si>
  <si>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</si>
  <si>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</si>
  <si>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</si>
  <si>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</si>
  <si>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</si>
  <si>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</si>
  <si>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</si>
  <si>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</si>
  <si>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</si>
  <si>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</si>
  <si>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</si>
  <si>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</si>
  <si>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</si>
  <si>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</si>
  <si>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</si>
  <si>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</si>
  <si>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</si>
  <si>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</si>
  <si>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</si>
  <si>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</si>
  <si>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</si>
  <si>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</si>
  <si>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</si>
  <si>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</si>
  <si>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</si>
  <si>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</si>
  <si>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</si>
  <si>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</si>
  <si>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</si>
  <si>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</si>
  <si>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</si>
  <si>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</si>
  <si>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</si>
  <si>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</si>
  <si>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</si>
  <si>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</si>
  <si>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</si>
  <si>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</si>
  <si>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</si>
  <si>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</si>
  <si>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</si>
  <si>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</si>
  <si>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</si>
  <si>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</si>
  <si>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</si>
  <si>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</si>
  <si>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</si>
  <si>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</si>
  <si>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</si>
  <si>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</si>
  <si>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</si>
  <si>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</si>
  <si>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</si>
  <si>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</si>
  <si>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</si>
  <si>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</si>
  <si>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</si>
  <si>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</si>
  <si>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</si>
  <si>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</si>
  <si>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</si>
  <si>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</si>
  <si>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</si>
  <si>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</si>
  <si>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</si>
  <si>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</si>
  <si>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</si>
  <si>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</si>
  <si>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</si>
  <si>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</si>
  <si>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</si>
  <si>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</si>
  <si>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</si>
  <si>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</si>
  <si>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</si>
  <si>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</si>
  <si>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</si>
  <si>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</si>
  <si>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</si>
  <si>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</si>
  <si>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</si>
  <si>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</si>
  <si>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</si>
  <si>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</si>
  <si>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</si>
  <si>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</si>
  <si>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</si>
  <si>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</si>
  <si>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</si>
  <si>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</si>
  <si>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</si>
  <si>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</si>
  <si>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</si>
  <si>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</si>
  <si>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</si>
  <si>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</si>
  <si>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</si>
  <si>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</si>
  <si>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</si>
  <si>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</si>
  <si>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</si>
  <si>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</si>
  <si>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</si>
  <si>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</si>
  <si>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</si>
  <si>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</si>
  <si>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</si>
  <si>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</si>
  <si>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</si>
  <si>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</si>
  <si>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</si>
  <si>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</si>
  <si>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</si>
  <si>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</si>
  <si>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</si>
  <si>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</si>
  <si>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</si>
  <si>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</si>
  <si>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</si>
  <si>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</si>
  <si>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</si>
  <si>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</si>
  <si>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</si>
  <si>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</si>
  <si>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</si>
  <si>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</si>
  <si>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</si>
  <si>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</si>
  <si>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</si>
  <si>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</si>
  <si>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</si>
  <si>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</si>
  <si>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</si>
  <si>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</si>
  <si>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</si>
  <si>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</si>
  <si>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</si>
  <si>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</si>
  <si>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</si>
  <si>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</si>
  <si>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</si>
  <si>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</si>
  <si>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</si>
  <si>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</si>
  <si>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</si>
  <si>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</si>
  <si>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</si>
  <si>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</si>
  <si>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</si>
  <si>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</si>
  <si>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</si>
  <si>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</si>
  <si>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</si>
  <si>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</si>
  <si>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</si>
  <si>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</si>
  <si>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</si>
  <si>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</si>
  <si>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</si>
  <si>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</si>
  <si>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</si>
  <si>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</si>
  <si>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</si>
  <si>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</si>
  <si>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</si>
  <si>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</si>
  <si>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</si>
  <si>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</si>
  <si>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</si>
  <si>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</si>
  <si>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</si>
  <si>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</si>
  <si>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</si>
  <si>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</si>
  <si>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</si>
  <si>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</si>
  <si>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</si>
  <si>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</si>
  <si>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</si>
  <si>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</si>
  <si>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</si>
  <si>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</si>
  <si>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</si>
  <si>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</si>
  <si>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</si>
  <si>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</si>
  <si>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</si>
  <si>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</si>
  <si>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</si>
  <si>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</si>
  <si>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</si>
  <si>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</si>
  <si>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</si>
  <si>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</si>
  <si>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</si>
  <si>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</si>
  <si>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</si>
  <si>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</si>
  <si>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</si>
  <si>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</si>
  <si>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</si>
  <si>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</si>
  <si>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</si>
  <si>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</si>
  <si>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</si>
  <si>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</si>
  <si>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</si>
  <si>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</si>
  <si>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</si>
  <si>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</si>
  <si>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</si>
  <si>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</si>
  <si>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</si>
  <si>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</si>
  <si>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</si>
  <si>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</si>
  <si>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</si>
  <si>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</si>
  <si>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</si>
  <si>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</si>
  <si>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</si>
  <si>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</si>
  <si>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</si>
  <si>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</si>
  <si>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</si>
  <si>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</si>
  <si>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</si>
  <si>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</si>
  <si>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</si>
  <si>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</si>
  <si>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</si>
  <si>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</si>
  <si>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</si>
  <si>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</si>
  <si>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</si>
  <si>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</si>
  <si>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</si>
  <si>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</si>
  <si>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</si>
  <si>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</si>
  <si>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</si>
  <si>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</si>
  <si>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</si>
  <si>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</si>
  <si>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</si>
  <si>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</si>
  <si>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</si>
  <si>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</si>
  <si>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</si>
  <si>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</si>
  <si>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</si>
  <si>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</si>
  <si>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</si>
  <si>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</si>
  <si>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</si>
  <si>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</si>
  <si>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</si>
  <si>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</si>
  <si>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</si>
  <si>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</si>
  <si>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</si>
  <si>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</si>
  <si>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</si>
  <si>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</si>
  <si>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</si>
  <si>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</si>
  <si>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</si>
  <si>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</si>
  <si>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</si>
  <si>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</si>
  <si>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</si>
  <si>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</si>
  <si>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</si>
  <si>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</si>
  <si>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</si>
  <si>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</si>
  <si>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</si>
  <si>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</si>
  <si>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</si>
  <si>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</si>
  <si>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</si>
  <si>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</si>
  <si>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</si>
  <si>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</si>
  <si>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</si>
  <si>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</si>
  <si>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</si>
  <si>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</si>
  <si>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</si>
  <si>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</si>
  <si>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</si>
  <si>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</si>
  <si>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</si>
  <si>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</si>
  <si>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</si>
  <si>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</si>
  <si>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</si>
  <si>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</si>
  <si>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</si>
  <si>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</si>
  <si>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</si>
  <si>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</si>
  <si>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</si>
  <si>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</si>
  <si>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</si>
  <si>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</si>
  <si>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</si>
  <si>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</si>
  <si>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</si>
  <si>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</si>
  <si>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</si>
  <si>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</si>
  <si>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</si>
  <si>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</si>
  <si>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</si>
  <si>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</si>
  <si>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</si>
  <si>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</si>
  <si>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</si>
  <si>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</si>
  <si>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</si>
  <si>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</si>
  <si>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</si>
  <si>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</si>
  <si>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</si>
  <si>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</si>
  <si>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</si>
  <si>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</si>
  <si>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</si>
  <si>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</si>
  <si>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</si>
  <si>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</si>
  <si>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</si>
  <si>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</si>
  <si>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</si>
  <si>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</si>
  <si>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</si>
  <si>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</si>
  <si>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</si>
  <si>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</si>
  <si>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</si>
  <si>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</si>
  <si>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</si>
  <si>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</si>
  <si>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</si>
  <si>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</si>
  <si>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</si>
  <si>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</si>
  <si>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</si>
  <si>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</si>
  <si>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</si>
  <si>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</si>
  <si>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</si>
  <si>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</si>
  <si>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</si>
  <si>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</si>
  <si>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</si>
  <si>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</si>
  <si>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</si>
  <si>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</si>
  <si>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</si>
  <si>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</si>
  <si>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</si>
  <si>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</si>
  <si>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</si>
  <si>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</si>
  <si>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</si>
  <si>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</si>
  <si>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</si>
  <si>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</si>
  <si>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</si>
  <si>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</si>
  <si>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</si>
  <si>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</si>
  <si>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</si>
  <si>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</si>
  <si>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</si>
  <si>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</si>
  <si>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</si>
  <si>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</si>
  <si>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</si>
  <si>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</si>
  <si>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</si>
  <si>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</si>
  <si>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</si>
  <si>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</si>
  <si>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</si>
  <si>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</si>
  <si>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</si>
  <si>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</si>
  <si>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</si>
  <si>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</si>
  <si>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</si>
  <si>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</si>
  <si>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</si>
  <si>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</si>
  <si>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</si>
  <si>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</si>
  <si>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</si>
  <si>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</si>
  <si>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</si>
  <si>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</si>
  <si>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</si>
  <si>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</si>
  <si>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</si>
  <si>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</si>
  <si>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</si>
  <si>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</si>
  <si>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</si>
  <si>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</si>
  <si>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</si>
  <si>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</si>
  <si>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</si>
  <si>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</si>
  <si>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</si>
  <si>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</si>
  <si>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</si>
  <si>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</si>
  <si>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</si>
  <si>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</si>
  <si>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</si>
  <si>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</si>
  <si>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</si>
  <si>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</si>
  <si>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</si>
  <si>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</si>
  <si>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</si>
  <si>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</si>
  <si>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</si>
  <si>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</si>
  <si>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</si>
  <si>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</si>
  <si>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</si>
  <si>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</si>
  <si>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</si>
  <si>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</si>
  <si>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</si>
  <si>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</si>
  <si>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</si>
  <si>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</si>
  <si>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</si>
  <si>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</si>
  <si>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</si>
  <si>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</si>
  <si>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</si>
  <si>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</si>
  <si>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</si>
  <si>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</si>
  <si>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</si>
  <si>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</si>
  <si>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</si>
  <si>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</si>
  <si>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</si>
  <si>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</si>
  <si>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</si>
  <si>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</si>
  <si>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</si>
  <si>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</si>
  <si>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</si>
  <si>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</si>
  <si>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</si>
  <si>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</si>
  <si>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</si>
  <si>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</si>
  <si>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</si>
  <si>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</si>
  <si>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</si>
  <si>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</si>
  <si>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</si>
  <si>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</si>
  <si>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</si>
  <si>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</si>
  <si>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</si>
  <si>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</si>
  <si>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</si>
  <si>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</si>
  <si>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</si>
  <si>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</si>
  <si>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</si>
  <si>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</si>
  <si>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</si>
  <si>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</si>
  <si>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</si>
  <si>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</si>
  <si>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</si>
  <si>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</si>
  <si>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</si>
  <si>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</si>
  <si>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</si>
  <si>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</si>
  <si>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</si>
  <si>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</si>
  <si>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</si>
  <si>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</si>
  <si>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</si>
  <si>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</si>
  <si>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</si>
  <si>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</si>
  <si>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</si>
  <si>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</si>
  <si>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</si>
  <si>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</si>
  <si>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</si>
  <si>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</si>
  <si>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</si>
  <si>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</si>
  <si>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</si>
  <si>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</si>
  <si>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</si>
  <si>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</si>
  <si>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</si>
  <si>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</si>
  <si>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</si>
  <si>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</si>
  <si>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</si>
  <si>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</si>
  <si>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</si>
  <si>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</si>
  <si>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</si>
  <si>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</si>
  <si>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</si>
  <si>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</si>
  <si>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</si>
  <si>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</si>
  <si>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</si>
  <si>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</si>
  <si>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</si>
  <si>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</si>
  <si>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</si>
  <si>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</si>
  <si>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</si>
  <si>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</si>
  <si>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</si>
  <si>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</si>
  <si>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</si>
  <si>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</si>
  <si>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</si>
  <si>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</si>
  <si>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</si>
  <si>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</si>
  <si>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</si>
  <si>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</si>
  <si>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</si>
  <si>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</si>
  <si>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</si>
  <si>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</si>
  <si>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</si>
  <si>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</si>
  <si>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</si>
  <si>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</si>
  <si>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</si>
  <si>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</si>
  <si>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</si>
  <si>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</si>
  <si>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</si>
  <si>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</si>
  <si>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</si>
  <si>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</si>
  <si>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</si>
  <si>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</si>
  <si>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</si>
  <si>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</si>
  <si>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</si>
  <si>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</si>
  <si>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</si>
  <si>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</si>
  <si>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</si>
  <si>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</si>
  <si>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</si>
  <si>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</si>
  <si>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</si>
  <si>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</si>
  <si>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</si>
  <si>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</si>
  <si>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</si>
  <si>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</si>
  <si>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</si>
  <si>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</si>
  <si>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</si>
  <si>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</si>
  <si>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</si>
  <si>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</si>
  <si>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</si>
  <si>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</si>
  <si>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</si>
  <si>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</si>
  <si>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</si>
  <si>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</si>
  <si>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</si>
  <si>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</si>
  <si>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</si>
  <si>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</si>
  <si>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</si>
  <si>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</si>
  <si>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</si>
  <si>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</si>
  <si>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</si>
  <si>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</si>
  <si>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</si>
  <si>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</si>
  <si>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</si>
  <si>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</si>
  <si>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</si>
  <si>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</si>
  <si>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</si>
  <si>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</si>
  <si>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</si>
  <si>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</si>
  <si>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</si>
  <si>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</si>
  <si>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</si>
  <si>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</si>
  <si>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</si>
  <si>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</si>
  <si>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</si>
  <si>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</si>
  <si>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</si>
  <si>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</si>
  <si>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</si>
  <si>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</si>
  <si>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</si>
  <si>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</si>
  <si>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</si>
  <si>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</si>
  <si>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</si>
  <si>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</si>
  <si>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</si>
  <si>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</si>
  <si>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</si>
  <si>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</si>
  <si>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</si>
  <si>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</si>
  <si>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</si>
  <si>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</si>
  <si>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</si>
  <si>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</si>
  <si>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</si>
  <si>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</si>
  <si>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</si>
  <si>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</si>
  <si>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</si>
  <si>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</si>
  <si>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</si>
  <si>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</si>
  <si>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</si>
  <si>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</si>
  <si>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</si>
  <si>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</si>
  <si>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</si>
  <si>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</si>
  <si>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</si>
  <si>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</si>
  <si>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</si>
  <si>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</si>
  <si>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</si>
  <si>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</si>
  <si>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</si>
  <si>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</si>
  <si>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</si>
  <si>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</si>
  <si>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</si>
  <si>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</si>
  <si>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</si>
  <si>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</si>
  <si>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</si>
  <si>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</si>
  <si>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</si>
  <si>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</si>
  <si>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</si>
  <si>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</si>
  <si>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</si>
  <si>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</si>
  <si>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</si>
  <si>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</si>
  <si>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</si>
  <si>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</si>
  <si>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</si>
  <si>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</si>
  <si>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</si>
  <si>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</si>
  <si>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</si>
  <si>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</si>
  <si>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</si>
  <si>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</si>
  <si>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</si>
  <si>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</si>
  <si>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</si>
  <si>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</si>
  <si>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</si>
  <si>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</si>
  <si>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</si>
  <si>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</si>
  <si>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</si>
  <si>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</si>
  <si>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</si>
  <si>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</si>
  <si>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</si>
  <si>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</si>
  <si>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</si>
  <si>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</si>
  <si>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</si>
  <si>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</si>
  <si>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</si>
  <si>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</si>
  <si>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</si>
  <si>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</si>
  <si>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</si>
  <si>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</si>
  <si>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</si>
  <si>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</si>
  <si>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</si>
  <si>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</si>
  <si>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</si>
  <si>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</si>
  <si>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</si>
  <si>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</si>
  <si>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</si>
  <si>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</si>
  <si>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</si>
  <si>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</si>
  <si>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</si>
  <si>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</si>
  <si>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</si>
  <si>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</si>
  <si>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</si>
  <si>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</si>
  <si>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</si>
  <si>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</si>
  <si>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</si>
  <si>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</si>
  <si>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</si>
  <si>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</si>
  <si>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</si>
  <si>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</si>
  <si>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</si>
  <si>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</si>
  <si>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</si>
  <si>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</si>
  <si>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</si>
  <si>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</si>
  <si>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</si>
  <si>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</si>
  <si>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</si>
  <si>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</si>
  <si>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</si>
  <si>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</si>
  <si>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</si>
  <si>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</si>
  <si>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</si>
  <si>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</si>
  <si>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</si>
  <si>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</si>
  <si>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</si>
  <si>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</si>
  <si>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</si>
  <si>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</si>
  <si>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</si>
  <si>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</si>
  <si>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</si>
  <si>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</si>
  <si>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</si>
  <si>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</si>
  <si>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</si>
  <si>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</si>
  <si>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</si>
  <si>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</si>
  <si>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</si>
  <si>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</si>
  <si>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</si>
  <si>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</si>
  <si>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</si>
  <si>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</si>
  <si>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</si>
  <si>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</si>
  <si>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</si>
  <si>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</si>
  <si>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</si>
  <si>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</si>
  <si>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</si>
  <si>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</si>
  <si>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</si>
  <si>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</si>
  <si>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</si>
  <si>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</si>
  <si>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</si>
  <si>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</si>
  <si>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</si>
  <si>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</si>
  <si>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</si>
  <si>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</si>
  <si>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</si>
  <si>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</si>
  <si>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</si>
  <si>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</si>
  <si>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</si>
  <si>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</si>
  <si>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</si>
  <si>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</si>
  <si>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</si>
  <si>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</si>
  <si>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</si>
  <si>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</si>
  <si>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</si>
  <si>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</si>
  <si>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</si>
  <si>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</si>
  <si>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</si>
  <si>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</si>
  <si>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</si>
  <si>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</si>
  <si>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</si>
  <si>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</si>
  <si>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</si>
  <si>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</si>
  <si>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</si>
  <si>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</si>
  <si>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</si>
  <si>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</si>
  <si>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</si>
  <si>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</si>
  <si>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</si>
  <si>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</si>
  <si>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</si>
  <si>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</si>
  <si>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</si>
  <si>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</si>
  <si>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</si>
  <si>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</si>
  <si>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</si>
  <si>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</si>
  <si>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</si>
  <si>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</si>
  <si>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</si>
  <si>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</si>
  <si>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</si>
  <si>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</si>
  <si>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</si>
  <si>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</si>
  <si>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</si>
  <si>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</si>
  <si>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</si>
  <si>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</si>
  <si>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</si>
  <si>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</si>
  <si>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</si>
  <si>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</si>
  <si>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</si>
  <si>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</si>
  <si>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</si>
  <si>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</si>
  <si>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</si>
  <si>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</si>
  <si>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</si>
  <si>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</si>
  <si>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</si>
  <si>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</si>
  <si>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</si>
  <si>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</si>
  <si>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</si>
  <si>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</si>
  <si>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</si>
  <si>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</si>
  <si>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</si>
  <si>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</si>
  <si>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</si>
  <si>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</si>
  <si>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</si>
  <si>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</si>
  <si>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</si>
  <si>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</si>
  <si>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</si>
  <si>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</si>
  <si>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</si>
  <si>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</si>
  <si>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</si>
  <si>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</si>
  <si>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</si>
  <si>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</si>
  <si>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</si>
  <si>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</si>
  <si>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</si>
  <si>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</si>
  <si>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</si>
  <si>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</si>
  <si>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</si>
  <si>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</si>
  <si>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</si>
  <si>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</si>
  <si>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</si>
  <si>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</si>
  <si>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</si>
  <si>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</si>
  <si>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</si>
  <si>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</si>
  <si>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</si>
  <si>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</si>
  <si>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</si>
  <si>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</si>
  <si>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</si>
  <si>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</si>
  <si>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</si>
  <si>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</si>
  <si>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</si>
  <si>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</si>
  <si>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</si>
  <si>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</si>
  <si>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</si>
  <si>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</si>
  <si>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</si>
  <si>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</si>
  <si>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</si>
  <si>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</si>
  <si>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</si>
  <si>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</si>
  <si>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</si>
  <si>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</si>
  <si>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</si>
  <si>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</si>
  <si>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</si>
  <si>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</si>
  <si>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</si>
  <si>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</si>
  <si>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</si>
  <si>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</si>
  <si>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</si>
  <si>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</si>
  <si>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</si>
  <si>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</si>
  <si>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</si>
  <si>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</si>
  <si>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</si>
  <si>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</si>
  <si>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</si>
  <si>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</si>
  <si>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</si>
  <si>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</si>
  <si>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</si>
  <si>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</si>
  <si>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</si>
  <si>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</si>
  <si>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</si>
  <si>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</si>
  <si>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</si>
  <si>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</si>
  <si>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</si>
  <si>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</si>
  <si>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</si>
  <si>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</si>
  <si>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</si>
  <si>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</si>
  <si>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</si>
  <si>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</si>
  <si>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</si>
  <si>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</si>
  <si>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</si>
  <si>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</si>
  <si>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</si>
  <si>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</si>
  <si>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</si>
  <si>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</si>
  <si>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</si>
  <si>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</si>
  <si>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</si>
  <si>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</si>
  <si>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</si>
  <si>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</si>
  <si>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</si>
  <si>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</si>
  <si>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</si>
  <si>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</si>
  <si>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</si>
  <si>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</si>
  <si>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</si>
  <si>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</si>
  <si>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</si>
  <si>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</si>
  <si>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</si>
  <si>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</si>
  <si>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</si>
  <si>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</si>
  <si>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</si>
  <si>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</si>
  <si>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</si>
  <si>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</si>
  <si>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</si>
  <si>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</si>
  <si>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</si>
  <si>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</si>
  <si>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</si>
  <si>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</si>
  <si>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</si>
  <si>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</si>
  <si>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</si>
  <si>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</si>
  <si>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</si>
  <si>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</si>
  <si>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</si>
  <si>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</si>
  <si>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</si>
  <si>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</si>
  <si>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</si>
  <si>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</si>
  <si>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</si>
  <si>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</si>
  <si>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</si>
  <si>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</si>
  <si>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</si>
  <si>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</si>
  <si>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</si>
  <si>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</si>
  <si>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</si>
  <si>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</si>
  <si>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</si>
  <si>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</si>
  <si>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</si>
  <si>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</si>
  <si>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</si>
  <si>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</si>
  <si>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</si>
  <si>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</si>
  <si>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</si>
  <si>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</si>
  <si>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</si>
  <si>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</si>
  <si>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</si>
  <si>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</si>
  <si>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</si>
  <si>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</si>
  <si>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</si>
  <si>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</si>
  <si>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</si>
  <si>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</si>
  <si>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</si>
  <si>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</si>
  <si>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</si>
  <si>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</si>
  <si>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</si>
  <si>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</si>
  <si>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</si>
  <si>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</si>
  <si>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</si>
  <si>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</si>
  <si>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</si>
  <si>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</si>
  <si>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</si>
  <si>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</si>
  <si>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</si>
  <si>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</si>
  <si>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</si>
  <si>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</si>
  <si>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</si>
  <si>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</si>
  <si>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</si>
  <si>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</si>
  <si>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</si>
  <si>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</si>
  <si>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</si>
  <si>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</si>
  <si>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</si>
  <si>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</si>
  <si>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</si>
  <si>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</si>
  <si>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</si>
  <si>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</si>
  <si>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</si>
  <si>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</si>
  <si>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</si>
  <si>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</si>
  <si>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</si>
  <si>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</si>
  <si>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</si>
  <si>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</si>
  <si>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</si>
  <si>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</si>
  <si>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</si>
  <si>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</si>
  <si>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</si>
  <si>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</si>
  <si>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</si>
  <si>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</si>
  <si>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</si>
  <si>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</si>
  <si>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</si>
  <si>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</si>
  <si>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</si>
  <si>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</si>
  <si>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</si>
  <si>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</si>
  <si>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</si>
  <si>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</si>
  <si>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</si>
  <si>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</si>
  <si>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</si>
  <si>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</si>
  <si>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</si>
  <si>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</si>
  <si>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</si>
  <si>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</si>
  <si>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</si>
  <si>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</si>
  <si>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</si>
  <si>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</si>
  <si>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</si>
  <si>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</si>
  <si>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</si>
  <si>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</si>
  <si>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</si>
  <si>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</si>
  <si>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</si>
  <si>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</si>
  <si>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</si>
  <si>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</si>
  <si>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</si>
  <si>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</si>
  <si>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</si>
  <si>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</si>
  <si>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</si>
  <si>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</si>
  <si>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</si>
  <si>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</si>
  <si>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</si>
  <si>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</si>
  <si>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</si>
  <si>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</si>
  <si>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</si>
  <si>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</si>
  <si>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</si>
  <si>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</si>
  <si>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</si>
  <si>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</si>
  <si>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</si>
  <si>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</si>
  <si>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</si>
  <si>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</si>
  <si>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</si>
  <si>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</si>
  <si>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</si>
  <si>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</si>
  <si>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</si>
  <si>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</si>
  <si>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</si>
  <si>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</si>
  <si>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</si>
  <si>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</si>
  <si>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</si>
  <si>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</si>
  <si>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</si>
  <si>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</si>
  <si>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</si>
  <si>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</si>
  <si>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</si>
  <si>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</si>
  <si>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</si>
  <si>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</si>
  <si>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</si>
  <si>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</si>
  <si>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</si>
  <si>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</si>
  <si>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</si>
  <si>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</si>
  <si>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</si>
  <si>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</si>
  <si>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</si>
  <si>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</si>
  <si>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</si>
  <si>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</si>
  <si>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</si>
  <si>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</si>
  <si>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</si>
  <si>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</si>
  <si>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</si>
  <si>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</si>
  <si>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</si>
  <si>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</si>
  <si>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</si>
  <si>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</si>
  <si>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</si>
  <si>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</si>
  <si>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</si>
  <si>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</si>
  <si>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</si>
  <si>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</si>
  <si>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</si>
  <si>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</si>
  <si>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</si>
  <si>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</si>
  <si>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</si>
  <si>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</si>
  <si>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</si>
  <si>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</si>
  <si>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</si>
  <si>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</si>
  <si>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</si>
  <si>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</si>
  <si>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</si>
  <si>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</si>
  <si>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</si>
  <si>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</si>
  <si>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</si>
  <si>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</si>
  <si>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</si>
  <si>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</si>
  <si>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</si>
  <si>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</si>
  <si>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</si>
  <si>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</si>
  <si>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</si>
  <si>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</si>
  <si>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</si>
  <si>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</si>
  <si>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</si>
  <si>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</si>
  <si>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</si>
  <si>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</si>
  <si>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</si>
  <si>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</si>
  <si>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</si>
  <si>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</si>
  <si>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</si>
  <si>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</si>
  <si>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</si>
  <si>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</si>
  <si>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</si>
  <si>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</si>
  <si>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</si>
  <si>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</si>
  <si>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</si>
  <si>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</si>
  <si>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</si>
  <si>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</si>
  <si>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</si>
  <si>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</si>
  <si>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</si>
  <si>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</si>
  <si>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</si>
  <si>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</si>
  <si>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</si>
  <si>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</si>
  <si>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</si>
  <si>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</si>
  <si>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</si>
  <si>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</si>
  <si>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</si>
  <si>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</si>
  <si>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</si>
  <si>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</si>
  <si>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</si>
  <si>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</si>
  <si>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</si>
  <si>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</si>
  <si>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</si>
  <si>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</si>
  <si>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</si>
  <si>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</si>
  <si>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</si>
  <si>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</si>
  <si>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</si>
  <si>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</si>
  <si>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</si>
  <si>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</si>
  <si>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</si>
  <si>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</si>
  <si>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</si>
  <si>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</si>
  <si>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</si>
  <si>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</si>
  <si>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</si>
  <si>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</si>
  <si>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</si>
  <si>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</si>
  <si>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</si>
  <si>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</si>
  <si>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</si>
  <si>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</si>
  <si>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</si>
  <si>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</si>
  <si>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</si>
  <si>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</si>
  <si>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</si>
  <si>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</si>
  <si>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</si>
  <si>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</si>
  <si>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</si>
  <si>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</si>
  <si>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</si>
  <si>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</si>
  <si>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</si>
  <si>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</si>
  <si>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</si>
  <si>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</si>
  <si>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</si>
  <si>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</si>
  <si>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</si>
  <si>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</si>
  <si>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</si>
  <si>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</si>
  <si>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</si>
  <si>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</si>
  <si>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</si>
  <si>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</si>
  <si>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</si>
  <si>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</si>
  <si>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</si>
  <si>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</si>
  <si>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</si>
  <si>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</si>
  <si>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</si>
  <si>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</si>
  <si>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</si>
  <si>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</si>
  <si>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</si>
  <si>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</si>
  <si>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</si>
  <si>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</si>
  <si>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</si>
  <si>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</si>
  <si>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</si>
  <si>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</si>
  <si>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</si>
  <si>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</si>
  <si>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</si>
  <si>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</si>
  <si>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</si>
  <si>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</si>
  <si>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</si>
  <si>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</si>
  <si>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</si>
  <si>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</si>
  <si>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</si>
  <si>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</si>
  <si>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</si>
  <si>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</si>
  <si>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</si>
  <si>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</si>
  <si>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</si>
  <si>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</si>
  <si>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</si>
  <si>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</si>
  <si>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</si>
  <si>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</si>
  <si>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</si>
  <si>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</si>
  <si>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</si>
  <si>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</si>
  <si>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</si>
  <si>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</si>
  <si>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</si>
  <si>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</si>
  <si>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</si>
  <si>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</si>
  <si>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</si>
  <si>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</si>
  <si>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</si>
  <si>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</si>
  <si>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</si>
  <si>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</si>
  <si>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</si>
  <si>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</si>
  <si>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</si>
  <si>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</si>
  <si>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</si>
  <si>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</si>
  <si>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</si>
  <si>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</si>
  <si>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</si>
  <si>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</si>
  <si>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</si>
  <si>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</si>
  <si>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</si>
  <si>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</si>
  <si>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</si>
  <si>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</si>
  <si>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</si>
  <si>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</si>
  <si>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</si>
  <si>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</si>
  <si>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</si>
  <si>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</si>
  <si>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</si>
  <si>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</si>
  <si>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</si>
  <si>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</si>
  <si>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</si>
  <si>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</si>
  <si>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</si>
  <si>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</si>
  <si>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</si>
  <si>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</si>
  <si>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</si>
  <si>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</si>
  <si>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</si>
  <si>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</si>
  <si>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</si>
  <si>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</si>
  <si>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</si>
  <si>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</si>
  <si>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</si>
  <si>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</si>
  <si>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</si>
  <si>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</si>
  <si>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</si>
  <si>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</si>
  <si>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</si>
  <si>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</si>
  <si>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</si>
  <si>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</si>
  <si>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</si>
  <si>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</si>
  <si>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</si>
  <si>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</si>
  <si>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</si>
  <si>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</si>
  <si>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</si>
  <si>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</si>
  <si>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</si>
  <si>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</si>
  <si>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</si>
  <si>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</si>
  <si>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</si>
  <si>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</si>
  <si>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</si>
  <si>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</si>
  <si>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</si>
  <si>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</si>
  <si>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</si>
  <si>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</si>
  <si>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</si>
  <si>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</si>
  <si>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</si>
  <si>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</si>
  <si>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</si>
  <si>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</si>
  <si>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</si>
  <si>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</si>
  <si>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</si>
  <si>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</si>
  <si>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</si>
  <si>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</si>
  <si>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</si>
  <si>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</si>
  <si>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</si>
  <si>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</si>
  <si>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</si>
  <si>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</si>
  <si>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</si>
  <si>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</si>
  <si>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</si>
  <si>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</si>
  <si>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</si>
  <si>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</si>
  <si>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</si>
  <si>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</si>
  <si>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</si>
  <si>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</si>
  <si>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</si>
  <si>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</si>
  <si>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Ellen M Chryss</t>
  </si>
  <si>
    <t>Contract Administrator</t>
  </si>
  <si>
    <t>Structural Services of New York</t>
  </si>
  <si>
    <t>PO Box 30937</t>
  </si>
  <si>
    <t>Rochester, NY 14607</t>
  </si>
  <si>
    <t xml:space="preserve">OGS SB818 - NYS Fairgrounds Exposition Building </t>
  </si>
  <si>
    <t>Subcontractor Reference Number 179997 Site</t>
  </si>
  <si>
    <t>Laborers</t>
  </si>
  <si>
    <t>Swanson, Scott</t>
  </si>
  <si>
    <t>Storch, Jeffrey A</t>
  </si>
  <si>
    <t>Crump Jr., Todd</t>
  </si>
  <si>
    <t>Operators</t>
  </si>
  <si>
    <t>Bashaw, Scott</t>
  </si>
  <si>
    <t>Carpenter, Brad</t>
  </si>
  <si>
    <t>Smith, Claire</t>
  </si>
  <si>
    <t>Operators (M)</t>
  </si>
  <si>
    <t>Operators (F)</t>
  </si>
  <si>
    <t>Total (M)</t>
  </si>
  <si>
    <t>Total (F)</t>
  </si>
  <si>
    <t>Total for Reporting Period</t>
  </si>
  <si>
    <t>trades</t>
  </si>
  <si>
    <t>Paid for w/e date</t>
  </si>
  <si>
    <t>Construction Laborers</t>
  </si>
  <si>
    <t>47-2061</t>
  </si>
  <si>
    <t>Operating Engineers and Other Construction Equipment Operators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</si>
</sst>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General;;"/>
    <numFmt numFmtId="165" formatCode="&quot;$&quot;#,##0"/>
    <numFmt numFmtId="166" formatCode="_([$$-409]* #,##0.00_);_([$$-409]* \(#,##0.00\);_([$$-409]* &quot;-&quot;??_);_(@_)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5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0" fillId="3" borderId="0" xfId="0" applyFill="1" applyBorder="1" applyProtection="1">
      <protection hidden="1"/>
    </xf>
    <xf numFmtId="14" fontId="0" fillId="0" borderId="0" xfId="0" applyNumberFormat="1"/>
    <xf numFmtId="166" fontId="0" fillId="0" borderId="0" xfId="0" applyNumberFormat="1"/>
    <xf numFmtId="166" fontId="0" fillId="4" borderId="0" xfId="0" applyNumberFormat="1" applyFill="1"/>
    <xf numFmtId="166" fontId="0" fillId="0" borderId="16" xfId="0" applyNumberFormat="1" applyBorder="1"/>
    <xf numFmtId="166" fontId="0" fillId="0" borderId="17" xfId="0" applyNumberFormat="1" applyBorder="1"/>
    <xf numFmtId="166" fontId="0" fillId="0" borderId="0" xfId="0" applyNumberFormat="1" applyBorder="1"/>
    <xf numFmtId="166" fontId="0" fillId="0" borderId="19" xfId="0" applyNumberFormat="1" applyBorder="1"/>
    <xf numFmtId="0" fontId="0" fillId="4" borderId="20" xfId="0" applyFill="1" applyBorder="1"/>
    <xf numFmtId="166" fontId="0" fillId="4" borderId="21" xfId="0" applyNumberFormat="1" applyFill="1" applyBorder="1"/>
    <xf numFmtId="166" fontId="0" fillId="4" borderId="22" xfId="0" applyNumberFormat="1" applyFill="1" applyBorder="1"/>
    <xf numFmtId="0" fontId="0" fillId="0" borderId="0" xfId="0" applyAlignment="1">
      <alignment horizontal="right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4" fontId="11" fillId="4" borderId="1" xfId="0" applyNumberFormat="1" applyFont="1" applyFill="1" applyBorder="1" applyAlignment="1" applyProtection="1">
      <alignment horizontal="center"/>
      <protection locked="0"/>
    </xf>
    <xf numFmtId="14" fontId="11" fillId="4" borderId="24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2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1847850</xdr:colOff>
          <xdr:row>4</xdr:row>
          <xdr:rowOff>171450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6</xdr:row>
          <xdr:rowOff>171450</xdr:rowOff>
        </xdr:from>
        <xdr:to>
          <xdr:col>8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7</xdr:row>
          <xdr:rowOff>0</xdr:rowOff>
        </xdr:from>
        <xdr:to>
          <xdr:col>11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7</xdr:row>
          <xdr:rowOff>0</xdr:rowOff>
        </xdr:from>
        <xdr:to>
          <xdr:col>14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8</xdr:row>
          <xdr:rowOff>0</xdr:rowOff>
        </xdr:from>
        <xdr:to>
          <xdr:col>8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8</xdr:row>
          <xdr:rowOff>19050</xdr:rowOff>
        </xdr:from>
        <xdr:to>
          <xdr:col>11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8</xdr:row>
          <xdr:rowOff>0</xdr:rowOff>
        </xdr:from>
        <xdr:to>
          <xdr:col>14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9</xdr:row>
          <xdr:rowOff>0</xdr:rowOff>
        </xdr:from>
        <xdr:to>
          <xdr:col>8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9</xdr:row>
          <xdr:rowOff>0</xdr:rowOff>
        </xdr:from>
        <xdr:to>
          <xdr:col>11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9</xdr:row>
          <xdr:rowOff>0</xdr:rowOff>
        </xdr:from>
        <xdr:to>
          <xdr:col>14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10</xdr:row>
          <xdr:rowOff>0</xdr:rowOff>
        </xdr:from>
        <xdr:to>
          <xdr:col>8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10</xdr:row>
          <xdr:rowOff>0</xdr:rowOff>
        </xdr:from>
        <xdr:to>
          <xdr:col>11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10</xdr:row>
          <xdr:rowOff>19050</xdr:rowOff>
        </xdr:from>
        <xdr:to>
          <xdr:col>14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0</xdr:rowOff>
        </xdr:from>
        <xdr:to>
          <xdr:col>12</xdr:col>
          <xdr:colOff>38100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171450</xdr:rowOff>
        </xdr:from>
        <xdr:to>
          <xdr:col>11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9</xdr:row>
          <xdr:rowOff>0</xdr:rowOff>
        </xdr:from>
        <xdr:to>
          <xdr:col>25</xdr:col>
          <xdr:colOff>19050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42</xdr:row>
          <xdr:rowOff>104775</xdr:rowOff>
        </xdr:from>
        <xdr:to>
          <xdr:col>11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11</xdr:row>
          <xdr:rowOff>152400</xdr:rowOff>
        </xdr:from>
        <xdr:to>
          <xdr:col>25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I54"/>
  <sheetViews>
    <sheetView showGridLines="0" tabSelected="1" topLeftCell="A16" zoomScale="85" zoomScaleNormal="85" zoomScalePageLayoutView="96" workbookViewId="0">
      <selection activeCell="C33" sqref="C33"/>
    </sheetView>
  </sheetViews>
  <sheetFormatPr defaultColWidth="8.7109375" defaultRowHeight="15" x14ac:dyDescent="0.25"/>
  <cols>
    <col min="1" max="1" width="8.7109375" style="3"/>
    <col min="2" max="2" width="28" customWidth="1"/>
    <col min="3" max="3" width="49.7109375" customWidth="1"/>
    <col min="4" max="4" width="18.28515625" customWidth="1"/>
    <col min="6" max="6" width="8.7109375" style="3"/>
    <col min="7" max="7" width="9.140625" customWidth="1"/>
    <col min="9" max="9" width="8.7109375" style="3"/>
    <col min="13" max="13" width="8.7109375" style="3"/>
    <col min="16" max="16" width="8.7109375" style="3"/>
    <col min="19" max="19" width="8.7109375" style="3"/>
    <col min="22" max="22" width="8.7109375" style="3"/>
    <col min="25" max="25" width="8.7109375" style="3"/>
    <col min="28" max="28" width="8.7109375" style="3"/>
    <col min="31" max="31" width="8.7109375" style="3"/>
    <col min="33" max="33" width="8.7109375" style="3"/>
  </cols>
  <sheetData>
    <row r="1" spans="1:35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s="1" customFormat="1" ht="52.5" customHeight="1" x14ac:dyDescent="0.25">
      <c r="A2" s="83"/>
      <c r="B2" s="164" t="s">
        <v>322</v>
      </c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83"/>
    </row>
    <row r="3" spans="1:35" s="28" customFormat="1" ht="17.649999999999999" customHeight="1" thickBot="1" x14ac:dyDescent="0.35">
      <c r="A3" s="83"/>
      <c r="B3" s="82" t="s">
        <v>1831</v>
      </c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</row>
    <row r="4" spans="1:35" x14ac:dyDescent="0.25">
      <c r="A4" s="2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6"/>
      <c r="R4" s="34"/>
      <c r="S4" s="35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5"/>
      <c r="AI4" s="2"/>
    </row>
    <row r="5" spans="1:35" x14ac:dyDescent="0.25">
      <c r="A5" s="2"/>
      <c r="B5" s="37"/>
      <c r="C5" s="128" t="s">
        <v>0</v>
      </c>
      <c r="D5" s="133"/>
      <c r="E5" s="133"/>
      <c r="F5" s="129"/>
      <c r="G5" s="129"/>
      <c r="H5" s="163" t="s">
        <v>321</v>
      </c>
      <c r="I5" s="163"/>
      <c r="J5" s="163"/>
      <c r="K5" s="163"/>
      <c r="L5" s="163"/>
      <c r="M5" s="163"/>
      <c r="N5" s="163"/>
      <c r="O5" s="163"/>
      <c r="P5" s="133"/>
      <c r="Q5" s="134"/>
      <c r="R5" s="37"/>
      <c r="S5" s="41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76"/>
      <c r="AI5" s="2"/>
    </row>
    <row r="6" spans="1:35" ht="21" customHeight="1" x14ac:dyDescent="0.25">
      <c r="A6" s="2"/>
      <c r="B6" s="37"/>
      <c r="C6" s="39"/>
      <c r="D6" s="176"/>
      <c r="E6" s="174"/>
      <c r="F6" s="131"/>
      <c r="G6" s="40"/>
      <c r="H6" s="174"/>
      <c r="I6" s="174"/>
      <c r="J6" s="174"/>
      <c r="K6" s="174"/>
      <c r="L6" s="174"/>
      <c r="M6" s="174"/>
      <c r="N6" s="174"/>
      <c r="O6" s="174"/>
      <c r="P6" s="131"/>
      <c r="Q6" s="71"/>
      <c r="R6" s="37"/>
      <c r="S6" s="41"/>
      <c r="T6" s="41"/>
      <c r="U6" s="41"/>
      <c r="V6" s="41"/>
      <c r="W6" s="41"/>
      <c r="X6" s="2"/>
      <c r="Y6" s="2"/>
      <c r="Z6" s="2"/>
      <c r="AA6" s="2"/>
      <c r="AB6" s="2"/>
      <c r="AC6" s="2"/>
      <c r="AD6" s="2"/>
      <c r="AE6" s="2"/>
      <c r="AF6" s="2"/>
      <c r="AG6" s="2"/>
      <c r="AH6" s="76"/>
      <c r="AI6" s="2"/>
    </row>
    <row r="7" spans="1:35" ht="15.75" x14ac:dyDescent="0.25">
      <c r="A7" s="2"/>
      <c r="B7" s="37"/>
      <c r="C7" s="41"/>
      <c r="D7" s="41"/>
      <c r="E7" s="41"/>
      <c r="F7" s="41"/>
      <c r="G7" s="41"/>
      <c r="H7" s="42"/>
      <c r="I7" s="42"/>
      <c r="J7" s="42"/>
      <c r="K7" s="42"/>
      <c r="L7" s="172"/>
      <c r="M7" s="172"/>
      <c r="N7" s="172"/>
      <c r="O7" s="172"/>
      <c r="P7" s="131"/>
      <c r="Q7" s="71"/>
      <c r="R7" s="43" t="s">
        <v>6</v>
      </c>
      <c r="S7" s="115"/>
      <c r="T7" s="70"/>
      <c r="U7" s="2"/>
      <c r="V7" s="2"/>
      <c r="W7" s="178" t="s">
        <v>1835</v>
      </c>
      <c r="X7" s="179"/>
      <c r="Y7" s="179"/>
      <c r="Z7" s="136"/>
      <c r="AA7" s="136"/>
      <c r="AB7" s="136"/>
      <c r="AC7" s="136"/>
      <c r="AD7" s="137"/>
      <c r="AE7" s="70"/>
      <c r="AF7" s="2"/>
      <c r="AG7" s="2"/>
      <c r="AH7" s="76"/>
      <c r="AI7" s="2"/>
    </row>
    <row r="8" spans="1:35" ht="15.75" x14ac:dyDescent="0.25">
      <c r="A8" s="2"/>
      <c r="B8" s="54" t="s">
        <v>476</v>
      </c>
      <c r="C8" s="173" t="s">
        <v>1837</v>
      </c>
      <c r="D8" s="173"/>
      <c r="E8" s="173"/>
      <c r="F8" s="70"/>
      <c r="G8" s="41"/>
      <c r="H8" s="150"/>
      <c r="I8" s="175"/>
      <c r="J8" s="151"/>
      <c r="K8" s="150"/>
      <c r="L8" s="151"/>
      <c r="M8" s="130"/>
      <c r="N8" s="150"/>
      <c r="O8" s="151"/>
      <c r="P8" s="131"/>
      <c r="Q8" s="38"/>
      <c r="R8" s="43" t="s">
        <v>7</v>
      </c>
      <c r="S8" s="115"/>
      <c r="T8" s="53"/>
      <c r="U8" s="2"/>
      <c r="V8" s="2"/>
      <c r="W8" s="169" t="s">
        <v>1836</v>
      </c>
      <c r="X8" s="170"/>
      <c r="Y8" s="170"/>
      <c r="Z8" s="170"/>
      <c r="AA8" s="170"/>
      <c r="AB8" s="170"/>
      <c r="AC8" s="170"/>
      <c r="AD8" s="171"/>
      <c r="AE8" s="53"/>
      <c r="AF8" s="2"/>
      <c r="AG8" s="2"/>
      <c r="AH8" s="76"/>
      <c r="AI8" s="2"/>
    </row>
    <row r="9" spans="1:35" ht="15.75" x14ac:dyDescent="0.25">
      <c r="A9" s="2"/>
      <c r="B9" s="54" t="s">
        <v>477</v>
      </c>
      <c r="C9" s="173" t="s">
        <v>1838</v>
      </c>
      <c r="D9" s="173"/>
      <c r="E9" s="173"/>
      <c r="F9" s="70"/>
      <c r="G9" s="41"/>
      <c r="H9" s="150"/>
      <c r="I9" s="175"/>
      <c r="J9" s="151"/>
      <c r="K9" s="150"/>
      <c r="L9" s="151"/>
      <c r="M9" s="130"/>
      <c r="N9" s="150"/>
      <c r="O9" s="151"/>
      <c r="P9" s="131"/>
      <c r="Q9" s="38"/>
      <c r="R9" s="43" t="s">
        <v>8</v>
      </c>
      <c r="S9" s="115"/>
      <c r="T9" s="70"/>
      <c r="U9" s="2"/>
      <c r="V9" s="2"/>
      <c r="W9" s="161"/>
      <c r="X9" s="162"/>
      <c r="Y9" s="86"/>
      <c r="Z9" s="86"/>
      <c r="AA9" s="87"/>
      <c r="AB9" s="70"/>
      <c r="AC9" s="2"/>
      <c r="AD9" s="2"/>
      <c r="AE9" s="2"/>
      <c r="AF9" s="2"/>
      <c r="AG9" s="2"/>
      <c r="AH9" s="76"/>
      <c r="AI9" s="2"/>
    </row>
    <row r="10" spans="1:35" ht="15.75" x14ac:dyDescent="0.25">
      <c r="A10" s="2"/>
      <c r="B10" s="54"/>
      <c r="C10" s="32" t="s">
        <v>1839</v>
      </c>
      <c r="D10" s="32"/>
      <c r="E10" s="32"/>
      <c r="F10" s="70"/>
      <c r="G10" s="41"/>
      <c r="H10" s="177"/>
      <c r="I10" s="177"/>
      <c r="J10" s="177"/>
      <c r="K10" s="177"/>
      <c r="L10" s="177"/>
      <c r="M10" s="126"/>
      <c r="N10" s="177"/>
      <c r="O10" s="177"/>
      <c r="P10" s="131"/>
      <c r="Q10" s="38"/>
      <c r="R10" s="37"/>
      <c r="S10" s="41"/>
      <c r="T10" s="41"/>
      <c r="U10" s="41"/>
      <c r="V10" s="41"/>
      <c r="W10" s="41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76"/>
      <c r="AI10" s="2"/>
    </row>
    <row r="11" spans="1:35" ht="15.75" x14ac:dyDescent="0.25">
      <c r="A11" s="2"/>
      <c r="B11" s="54" t="s">
        <v>1833</v>
      </c>
      <c r="C11" s="186"/>
      <c r="D11" s="187"/>
      <c r="E11" s="188"/>
      <c r="F11" s="53"/>
      <c r="G11" s="41"/>
      <c r="H11" s="177"/>
      <c r="I11" s="177"/>
      <c r="J11" s="177"/>
      <c r="K11" s="177"/>
      <c r="L11" s="177"/>
      <c r="M11" s="126"/>
      <c r="N11" s="177"/>
      <c r="O11" s="177"/>
      <c r="P11" s="131"/>
      <c r="Q11" s="38"/>
      <c r="R11" s="37"/>
      <c r="S11" s="41"/>
      <c r="T11" s="41"/>
      <c r="U11" s="41"/>
      <c r="V11" s="41"/>
      <c r="W11" s="41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76"/>
      <c r="AI11" s="2"/>
    </row>
    <row r="12" spans="1:35" ht="15.75" x14ac:dyDescent="0.25">
      <c r="A12" s="2"/>
      <c r="B12" s="54" t="s">
        <v>359</v>
      </c>
      <c r="C12" s="51" t="s">
        <v>385</v>
      </c>
      <c r="D12" s="72"/>
      <c r="E12" s="72"/>
      <c r="F12" s="53"/>
      <c r="G12" s="41"/>
      <c r="H12" s="41"/>
      <c r="I12" s="41"/>
      <c r="J12" s="41"/>
      <c r="K12" s="41"/>
      <c r="L12" s="41"/>
      <c r="M12" s="41"/>
      <c r="N12" s="41"/>
      <c r="O12" s="41"/>
      <c r="P12" s="42"/>
      <c r="Q12" s="38"/>
      <c r="R12" s="37"/>
      <c r="S12" s="41"/>
      <c r="T12" s="41"/>
      <c r="U12" s="41"/>
      <c r="V12" s="41"/>
      <c r="W12" s="41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76"/>
      <c r="AI12" s="2"/>
    </row>
    <row r="13" spans="1:35" ht="15.75" x14ac:dyDescent="0.25">
      <c r="A13" s="2"/>
      <c r="B13" s="55" t="s">
        <v>414</v>
      </c>
      <c r="C13" s="165"/>
      <c r="D13" s="166"/>
      <c r="E13" s="167"/>
      <c r="F13" s="114"/>
      <c r="G13" s="41"/>
      <c r="H13" s="181" t="s">
        <v>5</v>
      </c>
      <c r="I13" s="181"/>
      <c r="J13" s="181"/>
      <c r="K13" s="181"/>
      <c r="L13" s="181"/>
      <c r="M13" s="181"/>
      <c r="N13" s="181"/>
      <c r="O13" s="181"/>
      <c r="P13" s="132"/>
      <c r="Q13" s="38"/>
      <c r="R13" s="37"/>
      <c r="S13" s="41"/>
      <c r="T13" s="41"/>
      <c r="U13" s="41"/>
      <c r="V13" s="41"/>
      <c r="W13" s="41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76"/>
      <c r="AI13" s="2"/>
    </row>
    <row r="14" spans="1:35" ht="15.75" x14ac:dyDescent="0.25">
      <c r="A14" s="2"/>
      <c r="B14" s="54" t="s">
        <v>4</v>
      </c>
      <c r="C14" s="173" t="s">
        <v>1840</v>
      </c>
      <c r="D14" s="173"/>
      <c r="E14" s="173"/>
      <c r="F14" s="70"/>
      <c r="G14" s="41"/>
      <c r="H14" s="177"/>
      <c r="I14" s="177"/>
      <c r="J14" s="177"/>
      <c r="K14" s="177"/>
      <c r="L14" s="177"/>
      <c r="M14" s="177"/>
      <c r="N14" s="177"/>
      <c r="O14" s="177"/>
      <c r="P14" s="131"/>
      <c r="Q14" s="38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76"/>
      <c r="AI14" s="2"/>
    </row>
    <row r="15" spans="1:35" x14ac:dyDescent="0.25">
      <c r="A15" s="2"/>
      <c r="B15" s="37"/>
      <c r="C15" s="138" t="s">
        <v>1841</v>
      </c>
      <c r="D15" s="41"/>
      <c r="E15" s="41"/>
      <c r="F15" s="41"/>
      <c r="G15" s="41"/>
      <c r="H15" s="177"/>
      <c r="I15" s="177"/>
      <c r="J15" s="177"/>
      <c r="K15" s="177"/>
      <c r="L15" s="177"/>
      <c r="M15" s="177"/>
      <c r="N15" s="177"/>
      <c r="O15" s="177"/>
      <c r="P15" s="131"/>
      <c r="Q15" s="38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76"/>
      <c r="AI15" s="2"/>
    </row>
    <row r="16" spans="1:35" s="3" customFormat="1" ht="15.75" thickBot="1" x14ac:dyDescent="0.3">
      <c r="A16" s="2"/>
      <c r="B16" s="44"/>
      <c r="C16" s="45"/>
      <c r="D16" s="45"/>
      <c r="E16" s="45"/>
      <c r="F16" s="45"/>
      <c r="G16" s="45"/>
      <c r="H16" s="73"/>
      <c r="I16" s="73"/>
      <c r="J16" s="73"/>
      <c r="K16" s="73"/>
      <c r="L16" s="73"/>
      <c r="M16" s="73"/>
      <c r="N16" s="73"/>
      <c r="O16" s="73"/>
      <c r="P16" s="73"/>
      <c r="Q16" s="46"/>
      <c r="R16" s="44"/>
      <c r="S16" s="45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8"/>
      <c r="AI16" s="2"/>
    </row>
    <row r="17" spans="1:35" ht="19.5" thickBot="1" x14ac:dyDescent="0.35">
      <c r="A17" s="2"/>
      <c r="B17" s="135" t="s">
        <v>1832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15.75" thickBot="1" x14ac:dyDescent="0.3">
      <c r="A18" s="2"/>
      <c r="B18" s="182" t="s">
        <v>11</v>
      </c>
      <c r="C18" s="184" t="s">
        <v>9</v>
      </c>
      <c r="D18" s="182" t="s">
        <v>10</v>
      </c>
      <c r="E18" s="200" t="s">
        <v>1825</v>
      </c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1"/>
      <c r="AH18" s="202"/>
      <c r="AI18" s="2"/>
    </row>
    <row r="19" spans="1:35" ht="46.5" customHeight="1" thickBot="1" x14ac:dyDescent="0.3">
      <c r="A19" s="2"/>
      <c r="B19" s="183"/>
      <c r="C19" s="185"/>
      <c r="D19" s="183"/>
      <c r="E19" s="156" t="s">
        <v>1</v>
      </c>
      <c r="F19" s="156"/>
      <c r="G19" s="156"/>
      <c r="H19" s="156"/>
      <c r="I19" s="156"/>
      <c r="J19" s="157"/>
      <c r="K19" s="155" t="s">
        <v>13</v>
      </c>
      <c r="L19" s="156"/>
      <c r="M19" s="156"/>
      <c r="N19" s="156"/>
      <c r="O19" s="156"/>
      <c r="P19" s="157"/>
      <c r="Q19" s="155" t="s">
        <v>12</v>
      </c>
      <c r="R19" s="156"/>
      <c r="S19" s="156"/>
      <c r="T19" s="156"/>
      <c r="U19" s="156"/>
      <c r="V19" s="157"/>
      <c r="W19" s="158" t="s">
        <v>1826</v>
      </c>
      <c r="X19" s="159"/>
      <c r="Y19" s="159"/>
      <c r="Z19" s="159"/>
      <c r="AA19" s="159"/>
      <c r="AB19" s="160"/>
      <c r="AC19" s="195" t="s">
        <v>14</v>
      </c>
      <c r="AD19" s="196"/>
      <c r="AE19" s="196"/>
      <c r="AF19" s="196"/>
      <c r="AG19" s="196"/>
      <c r="AH19" s="197"/>
      <c r="AI19" s="2"/>
    </row>
    <row r="20" spans="1:35" ht="15.75" thickBot="1" x14ac:dyDescent="0.3">
      <c r="A20" s="2"/>
      <c r="B20" s="183"/>
      <c r="C20" s="185"/>
      <c r="D20" s="183"/>
      <c r="E20" s="153" t="s">
        <v>2</v>
      </c>
      <c r="F20" s="153"/>
      <c r="G20" s="154"/>
      <c r="H20" s="152" t="s">
        <v>3</v>
      </c>
      <c r="I20" s="153"/>
      <c r="J20" s="154"/>
      <c r="K20" s="152" t="s">
        <v>2</v>
      </c>
      <c r="L20" s="153"/>
      <c r="M20" s="154"/>
      <c r="N20" s="152" t="s">
        <v>3</v>
      </c>
      <c r="O20" s="153"/>
      <c r="P20" s="154"/>
      <c r="Q20" s="152" t="s">
        <v>2</v>
      </c>
      <c r="R20" s="153"/>
      <c r="S20" s="154"/>
      <c r="T20" s="152" t="s">
        <v>3</v>
      </c>
      <c r="U20" s="153"/>
      <c r="V20" s="154"/>
      <c r="W20" s="152" t="s">
        <v>2</v>
      </c>
      <c r="X20" s="153"/>
      <c r="Y20" s="154"/>
      <c r="Z20" s="152" t="s">
        <v>3</v>
      </c>
      <c r="AA20" s="153"/>
      <c r="AB20" s="154"/>
      <c r="AC20" s="152" t="s">
        <v>2</v>
      </c>
      <c r="AD20" s="153"/>
      <c r="AE20" s="154"/>
      <c r="AF20" s="152" t="s">
        <v>3</v>
      </c>
      <c r="AG20" s="153"/>
      <c r="AH20" s="154"/>
      <c r="AI20" s="2"/>
    </row>
    <row r="21" spans="1:35" ht="24" customHeight="1" thickBot="1" x14ac:dyDescent="0.3">
      <c r="A21" s="2"/>
      <c r="B21" s="88"/>
      <c r="C21" s="89"/>
      <c r="D21" s="88"/>
      <c r="E21" s="90" t="s">
        <v>1827</v>
      </c>
      <c r="F21" s="67" t="s">
        <v>1828</v>
      </c>
      <c r="G21" s="67" t="s">
        <v>1830</v>
      </c>
      <c r="H21" s="67" t="s">
        <v>1827</v>
      </c>
      <c r="I21" s="67" t="s">
        <v>1828</v>
      </c>
      <c r="J21" s="67" t="s">
        <v>1830</v>
      </c>
      <c r="K21" s="67" t="s">
        <v>1827</v>
      </c>
      <c r="L21" s="67" t="s">
        <v>1828</v>
      </c>
      <c r="M21" s="67" t="s">
        <v>1830</v>
      </c>
      <c r="N21" s="67" t="s">
        <v>1827</v>
      </c>
      <c r="O21" s="67" t="s">
        <v>1828</v>
      </c>
      <c r="P21" s="67" t="s">
        <v>1830</v>
      </c>
      <c r="Q21" s="67" t="s">
        <v>1827</v>
      </c>
      <c r="R21" s="67" t="s">
        <v>1828</v>
      </c>
      <c r="S21" s="67" t="s">
        <v>1830</v>
      </c>
      <c r="T21" s="67" t="s">
        <v>1827</v>
      </c>
      <c r="U21" s="67" t="s">
        <v>1828</v>
      </c>
      <c r="V21" s="67" t="s">
        <v>1830</v>
      </c>
      <c r="W21" s="67" t="s">
        <v>1827</v>
      </c>
      <c r="X21" s="67" t="s">
        <v>1828</v>
      </c>
      <c r="Y21" s="67" t="s">
        <v>1830</v>
      </c>
      <c r="Z21" s="67" t="s">
        <v>1827</v>
      </c>
      <c r="AA21" s="67" t="s">
        <v>1828</v>
      </c>
      <c r="AB21" s="67" t="s">
        <v>1830</v>
      </c>
      <c r="AC21" s="67" t="s">
        <v>1827</v>
      </c>
      <c r="AD21" s="67" t="s">
        <v>1828</v>
      </c>
      <c r="AE21" s="67" t="s">
        <v>1830</v>
      </c>
      <c r="AF21" s="67" t="s">
        <v>1827</v>
      </c>
      <c r="AG21" s="67" t="s">
        <v>1828</v>
      </c>
      <c r="AH21" s="67" t="s">
        <v>1830</v>
      </c>
      <c r="AI21" s="2"/>
    </row>
    <row r="22" spans="1:35" ht="34.5" customHeight="1" thickBot="1" x14ac:dyDescent="0.3">
      <c r="A22" s="2"/>
      <c r="B22" s="91" t="s">
        <v>320</v>
      </c>
      <c r="C22" s="91" t="s">
        <v>1857</v>
      </c>
      <c r="D22" s="92" t="s">
        <v>1858</v>
      </c>
      <c r="E22" s="96">
        <v>4</v>
      </c>
      <c r="F22" s="96">
        <v>632</v>
      </c>
      <c r="G22" s="94">
        <v>20667.439999999999</v>
      </c>
      <c r="H22" s="96"/>
      <c r="I22" s="96"/>
      <c r="J22" s="94"/>
      <c r="K22" s="97"/>
      <c r="L22" s="97"/>
      <c r="M22" s="116"/>
      <c r="N22" s="97"/>
      <c r="O22" s="97"/>
      <c r="P22" s="116"/>
      <c r="Q22" s="98"/>
      <c r="R22" s="98"/>
      <c r="S22" s="118"/>
      <c r="T22" s="98"/>
      <c r="U22" s="98"/>
      <c r="V22" s="118"/>
      <c r="W22" s="99"/>
      <c r="X22" s="99"/>
      <c r="Y22" s="120"/>
      <c r="Z22" s="99"/>
      <c r="AA22" s="99"/>
      <c r="AB22" s="120"/>
      <c r="AC22" s="100"/>
      <c r="AD22" s="100"/>
      <c r="AE22" s="122"/>
      <c r="AF22" s="101"/>
      <c r="AG22" s="100"/>
      <c r="AH22" s="124"/>
      <c r="AI22" s="2"/>
    </row>
    <row r="23" spans="1:35" ht="32.25" thickBot="1" x14ac:dyDescent="0.3">
      <c r="A23" s="2"/>
      <c r="B23" s="33" t="s">
        <v>319</v>
      </c>
      <c r="C23" s="33" t="s">
        <v>1859</v>
      </c>
      <c r="D23" s="92" t="str">
        <f>IF(ISERROR(VLOOKUP(C23,Sheet3!$A$2:$B$821,2,FALSE)),"",(VLOOKUP(C23,Sheet3!$A$2:$B$821,2,FALSE)))</f>
        <v>47-2073</v>
      </c>
      <c r="E23" s="96">
        <v>2</v>
      </c>
      <c r="F23" s="96">
        <v>352</v>
      </c>
      <c r="G23" s="94">
        <v>13041.36</v>
      </c>
      <c r="H23" s="96"/>
      <c r="I23" s="96"/>
      <c r="J23" s="94"/>
      <c r="K23" s="97"/>
      <c r="L23" s="97"/>
      <c r="M23" s="116"/>
      <c r="N23" s="97"/>
      <c r="O23" s="97"/>
      <c r="P23" s="116"/>
      <c r="Q23" s="98"/>
      <c r="R23" s="98"/>
      <c r="S23" s="118"/>
      <c r="T23" s="98"/>
      <c r="U23" s="98"/>
      <c r="V23" s="118"/>
      <c r="W23" s="99"/>
      <c r="X23" s="99"/>
      <c r="Y23" s="120"/>
      <c r="Z23" s="99"/>
      <c r="AA23" s="99"/>
      <c r="AB23" s="120"/>
      <c r="AC23" s="100"/>
      <c r="AD23" s="100"/>
      <c r="AE23" s="122"/>
      <c r="AF23" s="101"/>
      <c r="AG23" s="100"/>
      <c r="AH23" s="124"/>
      <c r="AI23" s="2"/>
    </row>
    <row r="24" spans="1:35" ht="24" customHeight="1" thickBot="1" x14ac:dyDescent="0.3">
      <c r="A24" s="2"/>
      <c r="B24" s="33"/>
      <c r="C24" s="33"/>
      <c r="D24" s="92" t="str">
        <f>IF(ISERROR(VLOOKUP(C24,Sheet3!$A$2:$B$821,2,FALSE)),"",(VLOOKUP(C24,Sheet3!$A$2:$B$821,2,FALSE)))</f>
        <v/>
      </c>
      <c r="E24" s="96"/>
      <c r="F24" s="96"/>
      <c r="G24" s="94"/>
      <c r="H24" s="96"/>
      <c r="I24" s="96"/>
      <c r="J24" s="94"/>
      <c r="K24" s="97"/>
      <c r="L24" s="97"/>
      <c r="M24" s="116"/>
      <c r="N24" s="97"/>
      <c r="O24" s="97"/>
      <c r="P24" s="116"/>
      <c r="Q24" s="98"/>
      <c r="R24" s="98"/>
      <c r="S24" s="118"/>
      <c r="T24" s="98"/>
      <c r="U24" s="98"/>
      <c r="V24" s="118"/>
      <c r="W24" s="99"/>
      <c r="X24" s="99"/>
      <c r="Y24" s="120"/>
      <c r="Z24" s="99"/>
      <c r="AA24" s="99"/>
      <c r="AB24" s="120"/>
      <c r="AC24" s="100"/>
      <c r="AD24" s="100"/>
      <c r="AE24" s="122"/>
      <c r="AF24" s="101"/>
      <c r="AG24" s="100"/>
      <c r="AH24" s="124"/>
      <c r="AI24" s="2"/>
    </row>
    <row r="25" spans="1:35" ht="24" customHeight="1" thickBot="1" x14ac:dyDescent="0.3">
      <c r="A25" s="2"/>
      <c r="B25" s="33"/>
      <c r="C25" s="33"/>
      <c r="D25" s="92" t="str">
        <f>IF(ISERROR(VLOOKUP(C25,Sheet3!$A$2:$B$821,2,FALSE)),"",(VLOOKUP(C25,Sheet3!$A$2:$B$821,2,FALSE)))</f>
        <v/>
      </c>
      <c r="E25" s="96"/>
      <c r="F25" s="96"/>
      <c r="G25" s="94"/>
      <c r="H25" s="96"/>
      <c r="I25" s="96"/>
      <c r="J25" s="94"/>
      <c r="K25" s="97"/>
      <c r="L25" s="97"/>
      <c r="M25" s="116"/>
      <c r="N25" s="97"/>
      <c r="O25" s="97"/>
      <c r="P25" s="116"/>
      <c r="Q25" s="98"/>
      <c r="R25" s="98"/>
      <c r="S25" s="118"/>
      <c r="T25" s="98"/>
      <c r="U25" s="98"/>
      <c r="V25" s="118"/>
      <c r="W25" s="99"/>
      <c r="X25" s="99"/>
      <c r="Y25" s="120"/>
      <c r="Z25" s="99"/>
      <c r="AA25" s="99"/>
      <c r="AB25" s="120"/>
      <c r="AC25" s="100"/>
      <c r="AD25" s="100"/>
      <c r="AE25" s="122"/>
      <c r="AF25" s="101"/>
      <c r="AG25" s="100"/>
      <c r="AH25" s="124"/>
      <c r="AI25" s="2"/>
    </row>
    <row r="26" spans="1:35" ht="24" customHeight="1" thickBot="1" x14ac:dyDescent="0.3">
      <c r="A26" s="2"/>
      <c r="B26" s="33"/>
      <c r="C26" s="33"/>
      <c r="D26" s="92" t="str">
        <f>IF(ISERROR(VLOOKUP(C26,Sheet3!$A$2:$B$821,2,FALSE)),"",(VLOOKUP(C26,Sheet3!$A$2:$B$821,2,FALSE)))</f>
        <v/>
      </c>
      <c r="E26" s="96"/>
      <c r="F26" s="96"/>
      <c r="G26" s="94"/>
      <c r="H26" s="96"/>
      <c r="I26" s="96"/>
      <c r="J26" s="94"/>
      <c r="K26" s="97"/>
      <c r="L26" s="97"/>
      <c r="M26" s="116"/>
      <c r="N26" s="97"/>
      <c r="O26" s="97"/>
      <c r="P26" s="116"/>
      <c r="Q26" s="98"/>
      <c r="R26" s="98"/>
      <c r="S26" s="118"/>
      <c r="T26" s="98"/>
      <c r="U26" s="98"/>
      <c r="V26" s="118"/>
      <c r="W26" s="99"/>
      <c r="X26" s="99"/>
      <c r="Y26" s="120"/>
      <c r="Z26" s="99"/>
      <c r="AA26" s="99"/>
      <c r="AB26" s="120"/>
      <c r="AC26" s="100"/>
      <c r="AD26" s="100"/>
      <c r="AE26" s="122"/>
      <c r="AF26" s="101"/>
      <c r="AG26" s="100"/>
      <c r="AH26" s="124"/>
      <c r="AI26" s="2"/>
    </row>
    <row r="27" spans="1:35" ht="24" customHeight="1" thickBot="1" x14ac:dyDescent="0.3">
      <c r="A27" s="2"/>
      <c r="B27" s="33"/>
      <c r="C27" s="33"/>
      <c r="D27" s="92" t="str">
        <f>IF(ISERROR(VLOOKUP(C27,Sheet3!$A$2:$B$821,2,FALSE)),"",(VLOOKUP(C27,Sheet3!$A$2:$B$821,2,FALSE)))</f>
        <v/>
      </c>
      <c r="E27" s="96"/>
      <c r="F27" s="96"/>
      <c r="G27" s="94"/>
      <c r="H27" s="96"/>
      <c r="I27" s="96"/>
      <c r="J27" s="94"/>
      <c r="K27" s="97"/>
      <c r="L27" s="97"/>
      <c r="M27" s="116"/>
      <c r="N27" s="97"/>
      <c r="O27" s="97"/>
      <c r="P27" s="116"/>
      <c r="Q27" s="98"/>
      <c r="R27" s="98"/>
      <c r="S27" s="118"/>
      <c r="T27" s="98"/>
      <c r="U27" s="98"/>
      <c r="V27" s="118"/>
      <c r="W27" s="99"/>
      <c r="X27" s="99"/>
      <c r="Y27" s="120"/>
      <c r="Z27" s="99"/>
      <c r="AA27" s="99"/>
      <c r="AB27" s="120"/>
      <c r="AC27" s="100"/>
      <c r="AD27" s="100"/>
      <c r="AE27" s="122"/>
      <c r="AF27" s="101"/>
      <c r="AG27" s="100"/>
      <c r="AH27" s="124"/>
      <c r="AI27" s="2"/>
    </row>
    <row r="28" spans="1:35" s="3" customFormat="1" ht="24" customHeight="1" thickBot="1" x14ac:dyDescent="0.3">
      <c r="A28" s="2"/>
      <c r="B28" s="33"/>
      <c r="C28" s="33"/>
      <c r="D28" s="92" t="str">
        <f>IF(ISERROR(VLOOKUP(C28,Sheet3!$A$2:$B$821,2,FALSE)),"",(VLOOKUP(C28,Sheet3!$A$2:$B$821,2,FALSE)))</f>
        <v/>
      </c>
      <c r="E28" s="96"/>
      <c r="F28" s="96"/>
      <c r="G28" s="94"/>
      <c r="H28" s="96"/>
      <c r="I28" s="96"/>
      <c r="J28" s="94"/>
      <c r="K28" s="97"/>
      <c r="L28" s="97"/>
      <c r="M28" s="116"/>
      <c r="N28" s="97"/>
      <c r="O28" s="97"/>
      <c r="P28" s="116"/>
      <c r="Q28" s="98"/>
      <c r="R28" s="98"/>
      <c r="S28" s="118"/>
      <c r="T28" s="98"/>
      <c r="U28" s="98"/>
      <c r="V28" s="118"/>
      <c r="W28" s="99"/>
      <c r="X28" s="99"/>
      <c r="Y28" s="120"/>
      <c r="Z28" s="99"/>
      <c r="AA28" s="99"/>
      <c r="AB28" s="120"/>
      <c r="AC28" s="100"/>
      <c r="AD28" s="100"/>
      <c r="AE28" s="122"/>
      <c r="AF28" s="101"/>
      <c r="AG28" s="100"/>
      <c r="AH28" s="124"/>
      <c r="AI28" s="2"/>
    </row>
    <row r="29" spans="1:35" ht="24.6" customHeight="1" thickBot="1" x14ac:dyDescent="0.3">
      <c r="A29" s="2"/>
      <c r="B29" s="33"/>
      <c r="C29" s="33"/>
      <c r="D29" s="92" t="str">
        <f>IF(ISERROR(VLOOKUP(C29,Sheet3!$A$2:$B$821,2,FALSE)),"",(VLOOKUP(C29,Sheet3!$A$2:$B$821,2,FALSE)))</f>
        <v/>
      </c>
      <c r="E29" s="96"/>
      <c r="F29" s="96"/>
      <c r="G29" s="94"/>
      <c r="H29" s="96"/>
      <c r="I29" s="96"/>
      <c r="J29" s="94"/>
      <c r="K29" s="97"/>
      <c r="L29" s="97"/>
      <c r="M29" s="116"/>
      <c r="N29" s="97"/>
      <c r="O29" s="97"/>
      <c r="P29" s="116"/>
      <c r="Q29" s="98"/>
      <c r="R29" s="98"/>
      <c r="S29" s="118"/>
      <c r="T29" s="98"/>
      <c r="U29" s="98"/>
      <c r="V29" s="118"/>
      <c r="W29" s="99"/>
      <c r="X29" s="99"/>
      <c r="Y29" s="120"/>
      <c r="Z29" s="99"/>
      <c r="AA29" s="99"/>
      <c r="AB29" s="120"/>
      <c r="AC29" s="100"/>
      <c r="AD29" s="100"/>
      <c r="AE29" s="122"/>
      <c r="AF29" s="101"/>
      <c r="AG29" s="100"/>
      <c r="AH29" s="124"/>
      <c r="AI29" s="2"/>
    </row>
    <row r="30" spans="1:35" s="3" customFormat="1" ht="24.6" customHeight="1" thickBot="1" x14ac:dyDescent="0.3">
      <c r="A30" s="2"/>
      <c r="B30" s="33"/>
      <c r="C30" s="33"/>
      <c r="D30" s="92" t="str">
        <f>IF(ISERROR(VLOOKUP(C30,Sheet3!$A$2:$B$821,2,FALSE)),"",(VLOOKUP(C30,Sheet3!$A$2:$B$821,2,FALSE)))</f>
        <v/>
      </c>
      <c r="E30" s="96"/>
      <c r="F30" s="96"/>
      <c r="G30" s="94"/>
      <c r="H30" s="96"/>
      <c r="I30" s="96"/>
      <c r="J30" s="94"/>
      <c r="K30" s="97"/>
      <c r="L30" s="97"/>
      <c r="M30" s="116"/>
      <c r="N30" s="97"/>
      <c r="O30" s="97"/>
      <c r="P30" s="116"/>
      <c r="Q30" s="98"/>
      <c r="R30" s="98"/>
      <c r="S30" s="118"/>
      <c r="T30" s="98"/>
      <c r="U30" s="98"/>
      <c r="V30" s="118"/>
      <c r="W30" s="99"/>
      <c r="X30" s="99"/>
      <c r="Y30" s="120"/>
      <c r="Z30" s="99"/>
      <c r="AA30" s="99"/>
      <c r="AB30" s="120"/>
      <c r="AC30" s="100"/>
      <c r="AD30" s="100"/>
      <c r="AE30" s="122"/>
      <c r="AF30" s="101"/>
      <c r="AG30" s="100"/>
      <c r="AH30" s="124"/>
      <c r="AI30" s="2"/>
    </row>
    <row r="31" spans="1:35" s="3" customFormat="1" ht="24.6" customHeight="1" thickBot="1" x14ac:dyDescent="0.3">
      <c r="A31" s="2"/>
      <c r="B31" s="33"/>
      <c r="C31" s="33"/>
      <c r="D31" s="92" t="str">
        <f>IF(ISERROR(VLOOKUP(C31,Sheet3!$A$2:$B$821,2,FALSE)),"",(VLOOKUP(C31,Sheet3!$A$2:$B$821,2,FALSE)))</f>
        <v/>
      </c>
      <c r="E31" s="96"/>
      <c r="F31" s="96"/>
      <c r="G31" s="94"/>
      <c r="H31" s="96"/>
      <c r="I31" s="96"/>
      <c r="J31" s="94"/>
      <c r="K31" s="97"/>
      <c r="L31" s="97"/>
      <c r="M31" s="116"/>
      <c r="N31" s="97"/>
      <c r="O31" s="97"/>
      <c r="P31" s="116"/>
      <c r="Q31" s="98"/>
      <c r="R31" s="98"/>
      <c r="S31" s="118"/>
      <c r="T31" s="98"/>
      <c r="U31" s="98"/>
      <c r="V31" s="118"/>
      <c r="W31" s="99"/>
      <c r="X31" s="99"/>
      <c r="Y31" s="120"/>
      <c r="Z31" s="99"/>
      <c r="AA31" s="99"/>
      <c r="AB31" s="120"/>
      <c r="AC31" s="100"/>
      <c r="AD31" s="100"/>
      <c r="AE31" s="122"/>
      <c r="AF31" s="101"/>
      <c r="AG31" s="100"/>
      <c r="AH31" s="124"/>
      <c r="AI31" s="2"/>
    </row>
    <row r="32" spans="1:35" s="3" customFormat="1" ht="24.6" customHeight="1" thickBot="1" x14ac:dyDescent="0.3">
      <c r="A32" s="2"/>
      <c r="B32" s="33"/>
      <c r="C32" s="33"/>
      <c r="D32" s="92" t="str">
        <f>IF(ISERROR(VLOOKUP(C32,Sheet3!$A$2:$B$821,2,FALSE)),"",(VLOOKUP(C32,Sheet3!$A$2:$B$821,2,FALSE)))</f>
        <v/>
      </c>
      <c r="E32" s="96"/>
      <c r="F32" s="96"/>
      <c r="G32" s="94"/>
      <c r="H32" s="96"/>
      <c r="I32" s="96"/>
      <c r="J32" s="94"/>
      <c r="K32" s="97"/>
      <c r="L32" s="102"/>
      <c r="M32" s="117"/>
      <c r="N32" s="97"/>
      <c r="O32" s="102"/>
      <c r="P32" s="117"/>
      <c r="Q32" s="103"/>
      <c r="R32" s="103"/>
      <c r="S32" s="119"/>
      <c r="T32" s="103"/>
      <c r="U32" s="103"/>
      <c r="V32" s="119"/>
      <c r="W32" s="104"/>
      <c r="X32" s="104"/>
      <c r="Y32" s="121"/>
      <c r="Z32" s="104"/>
      <c r="AA32" s="99"/>
      <c r="AB32" s="121"/>
      <c r="AC32" s="105"/>
      <c r="AD32" s="100"/>
      <c r="AE32" s="123"/>
      <c r="AF32" s="106"/>
      <c r="AG32" s="105"/>
      <c r="AH32" s="125"/>
      <c r="AI32" s="2"/>
    </row>
    <row r="33" spans="1:35" s="3" customFormat="1" ht="24.6" customHeight="1" thickBot="1" x14ac:dyDescent="0.3">
      <c r="A33" s="2"/>
      <c r="B33" s="33"/>
      <c r="C33" s="33"/>
      <c r="D33" s="92" t="str">
        <f>IF(ISERROR(VLOOKUP(C33,Sheet3!$A$2:$B$821,2,FALSE)),"",(VLOOKUP(C33,Sheet3!$A$2:$B$821,2,FALSE)))</f>
        <v/>
      </c>
      <c r="E33" s="96"/>
      <c r="F33" s="96"/>
      <c r="G33" s="94"/>
      <c r="H33" s="96"/>
      <c r="I33" s="96"/>
      <c r="J33" s="94"/>
      <c r="K33" s="97"/>
      <c r="L33" s="97"/>
      <c r="M33" s="116"/>
      <c r="N33" s="97"/>
      <c r="O33" s="97"/>
      <c r="P33" s="116"/>
      <c r="Q33" s="98"/>
      <c r="R33" s="98"/>
      <c r="S33" s="118"/>
      <c r="T33" s="98"/>
      <c r="U33" s="98"/>
      <c r="V33" s="118"/>
      <c r="W33" s="99"/>
      <c r="X33" s="99"/>
      <c r="Y33" s="120"/>
      <c r="Z33" s="99"/>
      <c r="AA33" s="99"/>
      <c r="AB33" s="120"/>
      <c r="AC33" s="100"/>
      <c r="AD33" s="100"/>
      <c r="AE33" s="124"/>
      <c r="AF33" s="100"/>
      <c r="AG33" s="100"/>
      <c r="AH33" s="124"/>
      <c r="AI33" s="2"/>
    </row>
    <row r="34" spans="1:35" s="3" customFormat="1" ht="24.6" customHeight="1" thickBot="1" x14ac:dyDescent="0.3">
      <c r="A34" s="2"/>
      <c r="B34" s="33"/>
      <c r="C34" s="33"/>
      <c r="D34" s="92" t="str">
        <f>IF(ISERROR(VLOOKUP(C34,Sheet3!$A$2:$B$821,2,FALSE)),"",(VLOOKUP(C34,Sheet3!$A$2:$B$821,2,FALSE)))</f>
        <v/>
      </c>
      <c r="E34" s="96"/>
      <c r="F34" s="96"/>
      <c r="G34" s="94"/>
      <c r="H34" s="96"/>
      <c r="I34" s="107"/>
      <c r="J34" s="94"/>
      <c r="K34" s="97"/>
      <c r="L34" s="97"/>
      <c r="M34" s="116"/>
      <c r="N34" s="97"/>
      <c r="O34" s="108"/>
      <c r="P34" s="116"/>
      <c r="Q34" s="98"/>
      <c r="R34" s="98"/>
      <c r="S34" s="118"/>
      <c r="T34" s="98"/>
      <c r="U34" s="98"/>
      <c r="V34" s="118"/>
      <c r="W34" s="109"/>
      <c r="X34" s="99"/>
      <c r="Y34" s="120"/>
      <c r="Z34" s="99"/>
      <c r="AA34" s="99"/>
      <c r="AB34" s="120"/>
      <c r="AC34" s="100"/>
      <c r="AD34" s="100"/>
      <c r="AE34" s="124"/>
      <c r="AF34" s="100"/>
      <c r="AG34" s="100"/>
      <c r="AH34" s="124"/>
      <c r="AI34" s="2"/>
    </row>
    <row r="35" spans="1:35" s="3" customFormat="1" ht="24.6" customHeight="1" thickBot="1" x14ac:dyDescent="0.3">
      <c r="A35" s="2"/>
      <c r="B35" s="33"/>
      <c r="C35" s="33"/>
      <c r="D35" s="92" t="str">
        <f>IF(ISERROR(VLOOKUP(C35,Sheet3!$A$2:$B$821,2,FALSE)),"",(VLOOKUP(C35,Sheet3!$A$2:$B$821,2,FALSE)))</f>
        <v/>
      </c>
      <c r="E35" s="96"/>
      <c r="F35" s="96"/>
      <c r="G35" s="94"/>
      <c r="H35" s="96"/>
      <c r="I35" s="96"/>
      <c r="J35" s="94"/>
      <c r="K35" s="97"/>
      <c r="L35" s="97"/>
      <c r="M35" s="116"/>
      <c r="N35" s="97"/>
      <c r="O35" s="97"/>
      <c r="P35" s="116"/>
      <c r="Q35" s="110"/>
      <c r="R35" s="98"/>
      <c r="S35" s="118"/>
      <c r="T35" s="98"/>
      <c r="U35" s="98"/>
      <c r="V35" s="118"/>
      <c r="W35" s="99"/>
      <c r="X35" s="99"/>
      <c r="Y35" s="120"/>
      <c r="Z35" s="99"/>
      <c r="AA35" s="99"/>
      <c r="AB35" s="120"/>
      <c r="AC35" s="100"/>
      <c r="AD35" s="100"/>
      <c r="AE35" s="124"/>
      <c r="AF35" s="111"/>
      <c r="AG35" s="100"/>
      <c r="AH35" s="124"/>
      <c r="AI35" s="2"/>
    </row>
    <row r="36" spans="1:35" s="3" customFormat="1" ht="24.6" customHeight="1" thickBot="1" x14ac:dyDescent="0.3">
      <c r="A36" s="2"/>
      <c r="B36" s="33"/>
      <c r="C36" s="93"/>
      <c r="D36" s="92" t="str">
        <f>IF(ISERROR(VLOOKUP(C36,Sheet3!$A$2:$B$821,2,FALSE)),"",(VLOOKUP(C36,Sheet3!$A$2:$B$821,2,FALSE)))</f>
        <v/>
      </c>
      <c r="E36" s="96"/>
      <c r="F36" s="96"/>
      <c r="G36" s="94"/>
      <c r="H36" s="96"/>
      <c r="I36" s="96"/>
      <c r="J36" s="94"/>
      <c r="K36" s="97"/>
      <c r="L36" s="97"/>
      <c r="M36" s="116"/>
      <c r="N36" s="97"/>
      <c r="O36" s="97"/>
      <c r="P36" s="116"/>
      <c r="Q36" s="98"/>
      <c r="R36" s="98"/>
      <c r="S36" s="118"/>
      <c r="T36" s="98"/>
      <c r="U36" s="98"/>
      <c r="V36" s="118"/>
      <c r="W36" s="99"/>
      <c r="X36" s="99"/>
      <c r="Y36" s="120"/>
      <c r="Z36" s="109"/>
      <c r="AA36" s="99"/>
      <c r="AB36" s="120"/>
      <c r="AC36" s="111"/>
      <c r="AD36" s="100"/>
      <c r="AE36" s="124"/>
      <c r="AF36" s="100"/>
      <c r="AG36" s="100"/>
      <c r="AH36" s="124"/>
      <c r="AI36" s="2"/>
    </row>
    <row r="37" spans="1:35" s="3" customFormat="1" ht="24.6" customHeight="1" thickBot="1" x14ac:dyDescent="0.3">
      <c r="A37" s="2"/>
      <c r="B37" s="33"/>
      <c r="C37" s="33"/>
      <c r="D37" s="92" t="str">
        <f>IF(ISERROR(VLOOKUP(C37,Sheet3!$A$2:$B$821,2,FALSE)),"",(VLOOKUP(C37,Sheet3!$A$2:$B$821,2,FALSE)))</f>
        <v/>
      </c>
      <c r="E37" s="96"/>
      <c r="F37" s="96"/>
      <c r="G37" s="94"/>
      <c r="H37" s="96"/>
      <c r="I37" s="96"/>
      <c r="J37" s="94"/>
      <c r="K37" s="97"/>
      <c r="L37" s="97"/>
      <c r="M37" s="116"/>
      <c r="N37" s="97"/>
      <c r="O37" s="97"/>
      <c r="P37" s="116"/>
      <c r="Q37" s="98"/>
      <c r="R37" s="98"/>
      <c r="S37" s="118"/>
      <c r="T37" s="98"/>
      <c r="U37" s="98"/>
      <c r="V37" s="118"/>
      <c r="W37" s="99"/>
      <c r="X37" s="99"/>
      <c r="Y37" s="120"/>
      <c r="Z37" s="99"/>
      <c r="AA37" s="99"/>
      <c r="AB37" s="120"/>
      <c r="AC37" s="100"/>
      <c r="AD37" s="100"/>
      <c r="AE37" s="124"/>
      <c r="AF37" s="100"/>
      <c r="AG37" s="100"/>
      <c r="AH37" s="124"/>
      <c r="AI37" s="2"/>
    </row>
    <row r="38" spans="1:35" s="3" customFormat="1" ht="15.75" thickBot="1" x14ac:dyDescent="0.3">
      <c r="A38" s="2"/>
      <c r="B38" s="168"/>
      <c r="C38" s="168"/>
      <c r="D38" s="168"/>
      <c r="E38" s="112"/>
      <c r="F38" s="112"/>
      <c r="G38" s="83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98"/>
      <c r="S38" s="198"/>
      <c r="T38" s="199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2"/>
    </row>
    <row r="39" spans="1:35" s="3" customFormat="1" ht="15.75" thickBot="1" x14ac:dyDescent="0.3">
      <c r="A39" s="2"/>
      <c r="B39" s="127"/>
      <c r="C39" s="127"/>
      <c r="D39" s="68"/>
      <c r="E39" s="95">
        <f>SUM(E22:E37)</f>
        <v>6</v>
      </c>
      <c r="F39" s="95">
        <f>SUM(F22:F37)</f>
        <v>984</v>
      </c>
      <c r="G39" s="113">
        <f>SUM(G22:G37)</f>
        <v>33708.800000000003</v>
      </c>
      <c r="H39" s="95">
        <f t="shared" ref="H39:AF39" si="0">SUM(H22:H37)</f>
        <v>0</v>
      </c>
      <c r="I39" s="95">
        <f t="shared" si="0"/>
        <v>0</v>
      </c>
      <c r="J39" s="113">
        <f t="shared" si="0"/>
        <v>0</v>
      </c>
      <c r="K39" s="95">
        <f t="shared" si="0"/>
        <v>0</v>
      </c>
      <c r="L39" s="95">
        <f t="shared" si="0"/>
        <v>0</v>
      </c>
      <c r="M39" s="113">
        <f>SUM(M22:M37)</f>
        <v>0</v>
      </c>
      <c r="N39" s="95">
        <f t="shared" si="0"/>
        <v>0</v>
      </c>
      <c r="O39" s="95">
        <f t="shared" si="0"/>
        <v>0</v>
      </c>
      <c r="P39" s="113">
        <f>SUM(P22:P37)</f>
        <v>0</v>
      </c>
      <c r="Q39" s="95">
        <f t="shared" si="0"/>
        <v>0</v>
      </c>
      <c r="R39" s="95">
        <f t="shared" si="0"/>
        <v>0</v>
      </c>
      <c r="S39" s="113">
        <f>SUM(S22:S37)</f>
        <v>0</v>
      </c>
      <c r="T39" s="95">
        <f t="shared" si="0"/>
        <v>0</v>
      </c>
      <c r="U39" s="95">
        <f t="shared" si="0"/>
        <v>0</v>
      </c>
      <c r="V39" s="113">
        <f>SUM(V22:V37)</f>
        <v>0</v>
      </c>
      <c r="W39" s="95">
        <f t="shared" si="0"/>
        <v>0</v>
      </c>
      <c r="X39" s="95">
        <f t="shared" si="0"/>
        <v>0</v>
      </c>
      <c r="Y39" s="113">
        <f>SUM(Y22:Y37)</f>
        <v>0</v>
      </c>
      <c r="Z39" s="95">
        <f t="shared" si="0"/>
        <v>0</v>
      </c>
      <c r="AA39" s="95">
        <f t="shared" si="0"/>
        <v>0</v>
      </c>
      <c r="AB39" s="113">
        <f>SUM(AB22:AB37)</f>
        <v>0</v>
      </c>
      <c r="AC39" s="95">
        <f t="shared" si="0"/>
        <v>0</v>
      </c>
      <c r="AD39" s="95">
        <f t="shared" si="0"/>
        <v>0</v>
      </c>
      <c r="AE39" s="113">
        <f>SUM(AE22:AE37)</f>
        <v>0</v>
      </c>
      <c r="AF39" s="95">
        <f t="shared" si="0"/>
        <v>0</v>
      </c>
      <c r="AG39" s="95">
        <f t="shared" ref="AG39" si="1">SUM(AG22:AG37)</f>
        <v>0</v>
      </c>
      <c r="AH39" s="113">
        <f>SUM(AH22:AH37)</f>
        <v>0</v>
      </c>
      <c r="AI39" s="2"/>
    </row>
    <row r="40" spans="1:35" s="3" customFormat="1" x14ac:dyDescent="0.25">
      <c r="A40" s="2"/>
      <c r="B40" s="127"/>
      <c r="C40" s="127"/>
      <c r="D40" s="68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2"/>
    </row>
    <row r="41" spans="1:35" ht="15.75" thickBot="1" x14ac:dyDescent="0.3">
      <c r="A41" s="2"/>
      <c r="B41" s="127"/>
      <c r="C41" s="127"/>
      <c r="D41" s="68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ht="8.25" customHeight="1" thickBot="1" x14ac:dyDescent="0.3">
      <c r="A42" s="2"/>
      <c r="B42" s="180"/>
      <c r="C42" s="180"/>
      <c r="D42" s="68"/>
      <c r="E42" s="79"/>
      <c r="F42" s="74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6"/>
      <c r="S42" s="4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25">
      <c r="A43" s="2"/>
      <c r="B43" s="189" t="s">
        <v>1829</v>
      </c>
      <c r="C43" s="190"/>
      <c r="D43" s="68"/>
      <c r="E43" s="80"/>
      <c r="F43" s="2"/>
      <c r="G43" s="41"/>
      <c r="H43" s="41"/>
      <c r="I43" s="41"/>
      <c r="J43" s="59"/>
      <c r="K43" s="59"/>
      <c r="L43" s="60"/>
      <c r="M43" s="60"/>
      <c r="N43" s="47"/>
      <c r="O43" s="47"/>
      <c r="P43" s="47"/>
      <c r="Q43" s="56"/>
      <c r="R43" s="57"/>
      <c r="S43" s="56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1:35" x14ac:dyDescent="0.25">
      <c r="A44" s="2"/>
      <c r="B44" s="191"/>
      <c r="C44" s="192"/>
      <c r="D44" s="41"/>
      <c r="E44" s="80"/>
      <c r="F44" s="2"/>
      <c r="G44" s="41"/>
      <c r="H44" s="41"/>
      <c r="I44" s="41"/>
      <c r="J44" s="59"/>
      <c r="K44" s="59"/>
      <c r="L44" s="61"/>
      <c r="M44" s="61"/>
      <c r="N44" s="58"/>
      <c r="O44" s="58"/>
      <c r="P44" s="58"/>
      <c r="Q44" s="56"/>
      <c r="R44" s="57"/>
      <c r="S44" s="56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1:35" ht="1.1499999999999999" customHeight="1" x14ac:dyDescent="0.25">
      <c r="A45" s="2"/>
      <c r="B45" s="191"/>
      <c r="C45" s="192"/>
      <c r="D45" s="41"/>
      <c r="E45" s="80"/>
      <c r="F45" s="2"/>
      <c r="G45" s="41"/>
      <c r="H45" s="41"/>
      <c r="I45" s="41"/>
      <c r="J45" s="59"/>
      <c r="K45" s="59"/>
      <c r="L45" s="62"/>
      <c r="M45" s="62"/>
      <c r="N45" s="56"/>
      <c r="O45" s="56"/>
      <c r="P45" s="56"/>
      <c r="Q45" s="56"/>
      <c r="R45" s="57"/>
      <c r="S45" s="56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1:35" s="2" customFormat="1" x14ac:dyDescent="0.25">
      <c r="B46" s="191"/>
      <c r="C46" s="192"/>
      <c r="E46" s="80"/>
      <c r="G46" s="41"/>
      <c r="H46" s="41"/>
      <c r="I46" s="41"/>
      <c r="J46" s="59"/>
      <c r="K46" s="59"/>
      <c r="L46" s="62"/>
      <c r="M46" s="62"/>
      <c r="N46" s="56"/>
      <c r="O46" s="56"/>
      <c r="P46" s="56"/>
      <c r="Q46" s="56"/>
      <c r="R46" s="57"/>
      <c r="S46" s="56"/>
    </row>
    <row r="47" spans="1:35" s="2" customFormat="1" ht="15.75" thickBot="1" x14ac:dyDescent="0.3">
      <c r="B47" s="193"/>
      <c r="C47" s="194"/>
      <c r="E47" s="80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38"/>
      <c r="S47" s="41"/>
    </row>
    <row r="48" spans="1:35" ht="15.75" thickBot="1" x14ac:dyDescent="0.3">
      <c r="A48" s="2"/>
      <c r="B48" s="2"/>
      <c r="C48" s="2"/>
      <c r="D48" s="2"/>
      <c r="E48" s="81"/>
      <c r="F48" s="77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6"/>
      <c r="S48" s="4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 s="31" customFormat="1" x14ac:dyDescent="0.25">
      <c r="A49" s="84"/>
      <c r="B49" s="2"/>
      <c r="C49" s="2"/>
      <c r="D49" s="2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</row>
    <row r="51" spans="1:35" x14ac:dyDescent="0.25">
      <c r="A51" s="2"/>
      <c r="B51" s="85" t="s">
        <v>1834</v>
      </c>
      <c r="C51" s="84"/>
      <c r="D51" s="84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</sheetData>
  <sheetProtection selectLockedCells="1"/>
  <mergeCells count="52">
    <mergeCell ref="B43:C47"/>
    <mergeCell ref="AC19:AH19"/>
    <mergeCell ref="R38:T38"/>
    <mergeCell ref="AF20:AH20"/>
    <mergeCell ref="C14:E14"/>
    <mergeCell ref="H14:O14"/>
    <mergeCell ref="E20:G20"/>
    <mergeCell ref="H20:J20"/>
    <mergeCell ref="D18:D20"/>
    <mergeCell ref="E19:J19"/>
    <mergeCell ref="H15:O15"/>
    <mergeCell ref="E18:AH18"/>
    <mergeCell ref="K20:M20"/>
    <mergeCell ref="N20:P20"/>
    <mergeCell ref="K19:P19"/>
    <mergeCell ref="Q20:S20"/>
    <mergeCell ref="B42:C42"/>
    <mergeCell ref="C9:E9"/>
    <mergeCell ref="K11:L11"/>
    <mergeCell ref="N11:O11"/>
    <mergeCell ref="H11:J11"/>
    <mergeCell ref="H10:J10"/>
    <mergeCell ref="K10:L10"/>
    <mergeCell ref="H13:O13"/>
    <mergeCell ref="K9:L9"/>
    <mergeCell ref="B18:B20"/>
    <mergeCell ref="C18:C20"/>
    <mergeCell ref="C11:E11"/>
    <mergeCell ref="H5:O5"/>
    <mergeCell ref="B2:AH2"/>
    <mergeCell ref="C13:E13"/>
    <mergeCell ref="B38:D38"/>
    <mergeCell ref="W8:AD8"/>
    <mergeCell ref="L7:O7"/>
    <mergeCell ref="C8:E8"/>
    <mergeCell ref="H6:K6"/>
    <mergeCell ref="L6:O6"/>
    <mergeCell ref="H9:J9"/>
    <mergeCell ref="D6:E6"/>
    <mergeCell ref="N10:O10"/>
    <mergeCell ref="N9:O9"/>
    <mergeCell ref="H8:J8"/>
    <mergeCell ref="K8:L8"/>
    <mergeCell ref="W7:Y7"/>
    <mergeCell ref="N8:O8"/>
    <mergeCell ref="AC20:AE20"/>
    <mergeCell ref="T20:V20"/>
    <mergeCell ref="Q19:V19"/>
    <mergeCell ref="W19:AB19"/>
    <mergeCell ref="W20:Y20"/>
    <mergeCell ref="Z20:AB20"/>
    <mergeCell ref="W9:X9"/>
  </mergeCells>
  <dataValidations count="2">
    <dataValidation type="list" allowBlank="1" showInputMessage="1" showErrorMessage="1" prompt="Please Select from Drop Down List" sqref="B22:B37">
      <formula1>JobCode</formula1>
    </dataValidation>
    <dataValidation type="list" allowBlank="1" showInputMessage="1" showErrorMessage="1" prompt="Please Select from Drop Down List" sqref="C22:C37">
      <formula1>INDIRECT(B22)</formula1>
    </dataValidation>
  </dataValidations>
  <printOptions horizontalCentered="1"/>
  <pageMargins left="0.25" right="0.25" top="0.75" bottom="0.75" header="0.3" footer="0.3"/>
  <pageSetup paperSize="5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2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2</xdr:col>
                    <xdr:colOff>1847850</xdr:colOff>
                    <xdr:row>4</xdr:row>
                    <xdr:rowOff>171450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7</xdr:col>
                    <xdr:colOff>228600</xdr:colOff>
                    <xdr:row>6</xdr:row>
                    <xdr:rowOff>171450</xdr:rowOff>
                  </from>
                  <to>
                    <xdr:col>8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10</xdr:col>
                    <xdr:colOff>190500</xdr:colOff>
                    <xdr:row>7</xdr:row>
                    <xdr:rowOff>0</xdr:rowOff>
                  </from>
                  <to>
                    <xdr:col>11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13</xdr:col>
                    <xdr:colOff>209550</xdr:colOff>
                    <xdr:row>7</xdr:row>
                    <xdr:rowOff>0</xdr:rowOff>
                  </from>
                  <to>
                    <xdr:col>14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7</xdr:col>
                    <xdr:colOff>228600</xdr:colOff>
                    <xdr:row>8</xdr:row>
                    <xdr:rowOff>0</xdr:rowOff>
                  </from>
                  <to>
                    <xdr:col>8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10</xdr:col>
                    <xdr:colOff>190500</xdr:colOff>
                    <xdr:row>8</xdr:row>
                    <xdr:rowOff>19050</xdr:rowOff>
                  </from>
                  <to>
                    <xdr:col>11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13</xdr:col>
                    <xdr:colOff>209550</xdr:colOff>
                    <xdr:row>8</xdr:row>
                    <xdr:rowOff>0</xdr:rowOff>
                  </from>
                  <to>
                    <xdr:col>14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7</xdr:col>
                    <xdr:colOff>228600</xdr:colOff>
                    <xdr:row>9</xdr:row>
                    <xdr:rowOff>0</xdr:rowOff>
                  </from>
                  <to>
                    <xdr:col>8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10</xdr:col>
                    <xdr:colOff>190500</xdr:colOff>
                    <xdr:row>9</xdr:row>
                    <xdr:rowOff>0</xdr:rowOff>
                  </from>
                  <to>
                    <xdr:col>11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13</xdr:col>
                    <xdr:colOff>209550</xdr:colOff>
                    <xdr:row>9</xdr:row>
                    <xdr:rowOff>0</xdr:rowOff>
                  </from>
                  <to>
                    <xdr:col>14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7</xdr:col>
                    <xdr:colOff>228600</xdr:colOff>
                    <xdr:row>10</xdr:row>
                    <xdr:rowOff>0</xdr:rowOff>
                  </from>
                  <to>
                    <xdr:col>8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10</xdr:col>
                    <xdr:colOff>209550</xdr:colOff>
                    <xdr:row>10</xdr:row>
                    <xdr:rowOff>0</xdr:rowOff>
                  </from>
                  <to>
                    <xdr:col>11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13</xdr:col>
                    <xdr:colOff>209550</xdr:colOff>
                    <xdr:row>10</xdr:row>
                    <xdr:rowOff>19050</xdr:rowOff>
                  </from>
                  <to>
                    <xdr:col>14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0</xdr:rowOff>
                  </from>
                  <to>
                    <xdr:col>12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171450</xdr:rowOff>
                  </from>
                  <to>
                    <xdr:col>11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17</xdr:col>
                    <xdr:colOff>57150</xdr:colOff>
                    <xdr:row>9</xdr:row>
                    <xdr:rowOff>0</xdr:rowOff>
                  </from>
                  <to>
                    <xdr:col>25</xdr:col>
                    <xdr:colOff>19050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9</xdr:col>
                    <xdr:colOff>266700</xdr:colOff>
                    <xdr:row>42</xdr:row>
                    <xdr:rowOff>104775</xdr:rowOff>
                  </from>
                  <to>
                    <xdr:col>11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</xdr:colOff>
                    <xdr:row>11</xdr:row>
                    <xdr:rowOff>152400</xdr:rowOff>
                  </from>
                  <to>
                    <xdr:col>25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C12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workbookViewId="0">
      <selection activeCell="C28" sqref="C28"/>
    </sheetView>
  </sheetViews>
  <sheetFormatPr defaultRowHeight="15" x14ac:dyDescent="0.25"/>
  <cols>
    <col min="1" max="1" width="15.5703125" bestFit="1" customWidth="1"/>
    <col min="2" max="2" width="19" bestFit="1" customWidth="1"/>
    <col min="3" max="3" width="24.28515625" bestFit="1" customWidth="1"/>
    <col min="4" max="6" width="16.42578125" bestFit="1" customWidth="1"/>
  </cols>
  <sheetData>
    <row r="1" spans="1:7" x14ac:dyDescent="0.25">
      <c r="A1" s="3"/>
      <c r="B1" s="3" t="s">
        <v>1830</v>
      </c>
      <c r="C1" s="3"/>
      <c r="D1" s="3"/>
      <c r="E1" s="3"/>
      <c r="F1" s="3"/>
      <c r="G1" s="3"/>
    </row>
    <row r="2" spans="1:7" s="3" customFormat="1" x14ac:dyDescent="0.25"/>
    <row r="3" spans="1:7" s="3" customFormat="1" x14ac:dyDescent="0.25">
      <c r="A3" s="3" t="s">
        <v>1855</v>
      </c>
      <c r="B3" s="3" t="s">
        <v>1856</v>
      </c>
      <c r="C3" s="3" t="s">
        <v>1856</v>
      </c>
      <c r="D3" s="3" t="s">
        <v>1856</v>
      </c>
      <c r="E3" s="3" t="s">
        <v>1856</v>
      </c>
      <c r="F3" s="3" t="s">
        <v>1856</v>
      </c>
    </row>
    <row r="4" spans="1:7" x14ac:dyDescent="0.25">
      <c r="A4" s="3" t="s">
        <v>1842</v>
      </c>
      <c r="B4" s="139"/>
      <c r="C4" s="139"/>
      <c r="D4" s="139"/>
      <c r="E4" s="3"/>
      <c r="F4" s="3"/>
      <c r="G4" s="3"/>
    </row>
    <row r="5" spans="1:7" x14ac:dyDescent="0.25">
      <c r="A5" s="3" t="s">
        <v>1843</v>
      </c>
      <c r="B5" s="140"/>
      <c r="C5" s="140"/>
      <c r="D5" s="140"/>
      <c r="E5" s="3"/>
      <c r="F5" s="3"/>
      <c r="G5" s="3"/>
    </row>
    <row r="6" spans="1:7" x14ac:dyDescent="0.25">
      <c r="A6" s="3" t="s">
        <v>1844</v>
      </c>
      <c r="B6" s="140"/>
      <c r="C6" s="140"/>
      <c r="D6" s="140"/>
      <c r="E6" s="3"/>
      <c r="F6" s="3"/>
      <c r="G6" s="3"/>
    </row>
    <row r="7" spans="1:7" x14ac:dyDescent="0.25">
      <c r="A7" s="3" t="s">
        <v>1845</v>
      </c>
      <c r="B7" s="140"/>
      <c r="C7" s="140"/>
      <c r="D7" s="140"/>
      <c r="E7" s="3"/>
      <c r="F7" s="3"/>
      <c r="G7" s="3"/>
    </row>
    <row r="8" spans="1:7" x14ac:dyDescent="0.25">
      <c r="A8" s="3"/>
      <c r="B8" s="140"/>
      <c r="C8" s="140"/>
      <c r="D8" s="140"/>
      <c r="E8" s="3"/>
      <c r="F8" s="3"/>
      <c r="G8" s="3"/>
    </row>
    <row r="9" spans="1:7" x14ac:dyDescent="0.25">
      <c r="A9" s="3" t="s">
        <v>1846</v>
      </c>
      <c r="B9" s="140"/>
      <c r="C9" s="140"/>
      <c r="D9" s="140"/>
      <c r="E9" s="3"/>
      <c r="F9" s="3"/>
      <c r="G9" s="3"/>
    </row>
    <row r="10" spans="1:7" x14ac:dyDescent="0.25">
      <c r="A10" s="3" t="s">
        <v>1847</v>
      </c>
      <c r="B10" s="140"/>
      <c r="C10" s="140"/>
      <c r="D10" s="140"/>
      <c r="E10" s="3"/>
      <c r="F10" s="140"/>
      <c r="G10" s="3"/>
    </row>
    <row r="11" spans="1:7" x14ac:dyDescent="0.25">
      <c r="A11" s="3" t="s">
        <v>1848</v>
      </c>
      <c r="B11" s="140"/>
      <c r="C11" s="140"/>
      <c r="D11" s="140"/>
      <c r="E11" s="3"/>
      <c r="F11" s="3"/>
      <c r="G11" s="3"/>
    </row>
    <row r="12" spans="1:7" x14ac:dyDescent="0.25">
      <c r="A12" s="8" t="s">
        <v>1849</v>
      </c>
      <c r="B12" s="141"/>
      <c r="C12" s="141"/>
      <c r="D12" s="141"/>
      <c r="E12" s="3"/>
      <c r="F12" s="3"/>
      <c r="G12" s="3"/>
    </row>
    <row r="13" spans="1:7" ht="15.75" thickBot="1" x14ac:dyDescent="0.3">
      <c r="A13" s="3"/>
      <c r="B13" s="140"/>
      <c r="C13" s="140"/>
      <c r="D13" s="140"/>
      <c r="E13" s="3"/>
      <c r="F13" s="3"/>
      <c r="G13" s="3"/>
    </row>
    <row r="14" spans="1:7" x14ac:dyDescent="0.25">
      <c r="A14" s="79" t="s">
        <v>1842</v>
      </c>
      <c r="B14" s="142">
        <f>SUM(B5:B7)</f>
        <v>0</v>
      </c>
      <c r="C14" s="142">
        <f t="shared" ref="C14:D14" si="0">SUM(C5:C7)</f>
        <v>0</v>
      </c>
      <c r="D14" s="142">
        <f t="shared" si="0"/>
        <v>0</v>
      </c>
      <c r="E14" s="143">
        <f>SUM(B14:D14)</f>
        <v>0</v>
      </c>
      <c r="F14" s="3"/>
      <c r="G14" s="3"/>
    </row>
    <row r="15" spans="1:7" x14ac:dyDescent="0.25">
      <c r="A15" s="80" t="s">
        <v>1850</v>
      </c>
      <c r="B15" s="144">
        <f>SUM(B10:B11)</f>
        <v>0</v>
      </c>
      <c r="C15" s="144">
        <f t="shared" ref="C15:D15" si="1">SUM(C10:C11)</f>
        <v>0</v>
      </c>
      <c r="D15" s="144">
        <f t="shared" si="1"/>
        <v>0</v>
      </c>
      <c r="E15" s="145">
        <f>SUM(B15:D15)</f>
        <v>0</v>
      </c>
      <c r="F15" s="3"/>
      <c r="G15" s="3"/>
    </row>
    <row r="16" spans="1:7" ht="15.75" thickBot="1" x14ac:dyDescent="0.3">
      <c r="A16" s="146" t="s">
        <v>1851</v>
      </c>
      <c r="B16" s="147">
        <f>SUM(B12)</f>
        <v>0</v>
      </c>
      <c r="C16" s="147">
        <f t="shared" ref="C16:D16" si="2">SUM(C12)</f>
        <v>0</v>
      </c>
      <c r="D16" s="147">
        <f t="shared" si="2"/>
        <v>0</v>
      </c>
      <c r="E16" s="148">
        <f>SUM(B16:D16)</f>
        <v>0</v>
      </c>
      <c r="F16" s="3"/>
      <c r="G16" s="3"/>
    </row>
    <row r="17" spans="1:7" x14ac:dyDescent="0.25">
      <c r="A17" s="79" t="s">
        <v>1852</v>
      </c>
      <c r="B17" s="142">
        <f>SUM(B14:B15)</f>
        <v>0</v>
      </c>
      <c r="C17" s="142">
        <f t="shared" ref="C17:D17" si="3">SUM(C14:C15)</f>
        <v>0</v>
      </c>
      <c r="D17" s="142">
        <f t="shared" si="3"/>
        <v>0</v>
      </c>
      <c r="E17" s="143">
        <f>SUM(B17:D17)</f>
        <v>0</v>
      </c>
      <c r="F17" s="3"/>
      <c r="G17" s="3"/>
    </row>
    <row r="18" spans="1:7" ht="15.75" thickBot="1" x14ac:dyDescent="0.3">
      <c r="A18" s="146" t="s">
        <v>1853</v>
      </c>
      <c r="B18" s="147">
        <f>SUM(B16)</f>
        <v>0</v>
      </c>
      <c r="C18" s="147">
        <f t="shared" ref="C18:D18" si="4">SUM(C16)</f>
        <v>0</v>
      </c>
      <c r="D18" s="147">
        <f t="shared" si="4"/>
        <v>0</v>
      </c>
      <c r="E18" s="148">
        <f>SUM(B18:D18)</f>
        <v>0</v>
      </c>
      <c r="F18" s="3"/>
      <c r="G18" s="3"/>
    </row>
    <row r="19" spans="1:7" x14ac:dyDescent="0.25">
      <c r="A19" s="2"/>
      <c r="B19" s="2"/>
      <c r="C19" s="2"/>
      <c r="D19" s="2"/>
      <c r="E19" s="2"/>
      <c r="F19" s="3"/>
      <c r="G19" s="3"/>
    </row>
    <row r="20" spans="1:7" x14ac:dyDescent="0.25">
      <c r="A20" s="3"/>
      <c r="B20" s="3"/>
      <c r="C20" s="149" t="s">
        <v>1854</v>
      </c>
      <c r="D20" s="140">
        <f>SUM(E17:E18)</f>
        <v>0</v>
      </c>
      <c r="E20" s="3"/>
      <c r="F20" s="3"/>
      <c r="G20" s="3"/>
    </row>
    <row r="21" spans="1:7" x14ac:dyDescent="0.25">
      <c r="A21" s="3"/>
      <c r="B21" s="3"/>
      <c r="C21" s="3"/>
      <c r="D21" s="3"/>
      <c r="E21" s="3"/>
      <c r="F21" s="3"/>
      <c r="G2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EEO-101-Construction Workforce </vt:lpstr>
      <vt:lpstr>Sheet1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Ellen Chryss</cp:lastModifiedBy>
  <cp:lastPrinted>2018-04-26T15:36:06Z</cp:lastPrinted>
  <dcterms:created xsi:type="dcterms:W3CDTF">2016-01-07T15:16:02Z</dcterms:created>
  <dcterms:modified xsi:type="dcterms:W3CDTF">2018-07-06T15:07:44Z</dcterms:modified>
</cp:coreProperties>
</file>