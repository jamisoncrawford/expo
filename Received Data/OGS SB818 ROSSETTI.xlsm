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tinan\Desktop\"/>
    </mc:Choice>
  </mc:AlternateContent>
  <xr:revisionPtr revIDLastSave="0" documentId="13_ncr:1_{D23FE932-0D93-4C07-B3BC-44C3772D7686}" xr6:coauthVersionLast="31" xr6:coauthVersionMax="31" xr10:uidLastSave="{00000000-0000-0000-0000-000000000000}"/>
  <bookViews>
    <workbookView xWindow="0" yWindow="0" windowWidth="28800" windowHeight="11625" xr2:uid="{00000000-000D-0000-FFFF-FFFF00000000}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901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<sst xmlns="http://schemas.openxmlformats.org/spreadsheetml/2006/main" count="2107" uniqueCount="1845">
  <si>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</si>
  <si>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</si>
  <si>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</si>
  <si>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</si>
  <si>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</si>
  <si>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</si>
  <si>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</si>
  <si>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</si>
  <si>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</si>
  <si>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</si>
  <si>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</si>
  <si>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</si>
  <si>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</si>
  <si>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</si>
  <si>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</si>
  <si>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</si>
  <si>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</si>
  <si>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</si>
  <si>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</si>
  <si>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</si>
  <si>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</si>
  <si>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</si>
  <si>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</si>
  <si>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</si>
  <si>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</si>
  <si>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</si>
  <si>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</si>
  <si>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</si>
  <si>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</si>
  <si>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</si>
  <si>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</si>
  <si>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</si>
  <si>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</si>
  <si>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</si>
  <si>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</si>
  <si>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</si>
  <si>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</si>
  <si>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</si>
  <si>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</si>
  <si>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</si>
  <si>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</si>
  <si>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</si>
  <si>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</si>
  <si>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</si>
  <si>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</si>
  <si>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</si>
  <si>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</si>
  <si>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</si>
  <si>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</si>
  <si>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</si>
  <si>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</si>
  <si>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</si>
  <si>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</si>
  <si>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</si>
  <si>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</si>
  <si>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</si>
  <si>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</si>
  <si>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</si>
  <si>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</si>
  <si>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</si>
  <si>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</si>
  <si>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</si>
  <si>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</si>
  <si>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</si>
  <si>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</si>
  <si>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</si>
  <si>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</si>
  <si>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</si>
  <si>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</si>
  <si>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</si>
  <si>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</si>
  <si>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</si>
  <si>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</si>
  <si>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</si>
  <si>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</si>
  <si>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</si>
  <si>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</si>
  <si>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</si>
  <si>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</si>
  <si>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</si>
  <si>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</si>
  <si>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</si>
  <si>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</si>
  <si>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</si>
  <si>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</si>
  <si>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</si>
  <si>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</si>
  <si>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</si>
  <si>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</si>
  <si>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</si>
  <si>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</si>
  <si>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</si>
  <si>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</si>
  <si>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</si>
  <si>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</si>
  <si>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</si>
  <si>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</si>
  <si>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</si>
  <si>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</si>
  <si>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</si>
  <si>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</si>
  <si>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</si>
  <si>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</si>
  <si>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</si>
  <si>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</si>
  <si>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</si>
  <si>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</si>
  <si>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</si>
  <si>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</si>
  <si>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</si>
  <si>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</si>
  <si>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</si>
  <si>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</si>
  <si>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</si>
  <si>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</si>
  <si>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</si>
  <si>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</si>
  <si>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</si>
  <si>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</si>
  <si>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</si>
  <si>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</si>
  <si>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</si>
  <si>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</si>
  <si>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</si>
  <si>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</si>
  <si>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</si>
  <si>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</si>
  <si>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</si>
  <si>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</si>
  <si>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</si>
  <si>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</si>
  <si>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</si>
  <si>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</si>
  <si>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</si>
  <si>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</si>
  <si>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</si>
  <si>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</si>
  <si>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</si>
  <si>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</si>
  <si>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</si>
  <si>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</si>
  <si>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</si>
  <si>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</si>
  <si>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</si>
  <si>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</si>
  <si>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</si>
  <si>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</si>
  <si>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</si>
  <si>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</si>
  <si>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</si>
  <si>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</si>
  <si>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</si>
  <si>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</si>
  <si>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</si>
  <si>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</si>
  <si>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</si>
  <si>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</si>
  <si>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</si>
  <si>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</si>
  <si>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</si>
  <si>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</si>
  <si>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</si>
  <si>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</si>
  <si>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</si>
  <si>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</si>
  <si>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</si>
  <si>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</si>
  <si>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</si>
  <si>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</si>
  <si>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</si>
  <si>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</si>
  <si>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</si>
  <si>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</si>
  <si>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</si>
  <si>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</si>
  <si>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</si>
  <si>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</si>
  <si>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</si>
  <si>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</si>
  <si>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</si>
  <si>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</si>
  <si>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</si>
  <si>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</si>
  <si>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</si>
  <si>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</si>
  <si>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</si>
  <si>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</si>
  <si>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</si>
  <si>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</si>
  <si>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</si>
  <si>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</si>
  <si>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</si>
  <si>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</si>
  <si>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</si>
  <si>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</si>
  <si>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</si>
  <si>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</si>
  <si>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</si>
  <si>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</si>
  <si>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</si>
  <si>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</si>
  <si>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</si>
  <si>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</si>
  <si>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</si>
  <si>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</si>
  <si>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</si>
  <si>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</si>
  <si>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</si>
  <si>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</si>
  <si>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</si>
  <si>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</si>
  <si>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</si>
  <si>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</si>
  <si>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</si>
  <si>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</si>
  <si>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</si>
  <si>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</si>
  <si>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</si>
  <si>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</si>
  <si>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</si>
  <si>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</si>
  <si>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</si>
  <si>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</si>
  <si>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</si>
  <si>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</si>
  <si>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</si>
  <si>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</si>
  <si>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</si>
  <si>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</si>
  <si>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</si>
  <si>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</si>
  <si>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</si>
  <si>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</si>
  <si>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</si>
  <si>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</si>
  <si>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</si>
  <si>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</si>
  <si>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</si>
  <si>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</si>
  <si>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</si>
  <si>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</si>
  <si>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</si>
  <si>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</si>
  <si>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</si>
  <si>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</si>
  <si>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</si>
  <si>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</si>
  <si>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</si>
  <si>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</si>
  <si>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</si>
  <si>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</si>
  <si>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</si>
  <si>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</si>
  <si>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</si>
  <si>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</si>
  <si>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</si>
  <si>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</si>
  <si>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</si>
  <si>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</si>
  <si>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</si>
  <si>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</si>
  <si>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</si>
  <si>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</si>
  <si>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</si>
  <si>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</si>
  <si>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</si>
  <si>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</si>
  <si>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</si>
  <si>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</si>
  <si>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</si>
  <si>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</si>
  <si>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</si>
  <si>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</si>
  <si>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</si>
  <si>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</si>
  <si>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</si>
  <si>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</si>
  <si>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</si>
  <si>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</si>
  <si>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</si>
  <si>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</si>
  <si>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</si>
  <si>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</si>
  <si>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</si>
  <si>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</si>
  <si>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</si>
  <si>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</si>
  <si>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</si>
  <si>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</si>
  <si>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</si>
  <si>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</si>
  <si>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</si>
  <si>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</si>
  <si>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</si>
  <si>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</si>
  <si>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</si>
  <si>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</si>
  <si>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</si>
  <si>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</si>
  <si>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</si>
  <si>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</si>
  <si>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</si>
  <si>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</si>
  <si>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</si>
  <si>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</si>
  <si>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</si>
  <si>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</si>
  <si>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</si>
  <si>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</si>
  <si>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</si>
  <si>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</si>
  <si>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</si>
  <si>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</si>
  <si>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</si>
  <si>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</si>
  <si>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</si>
  <si>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</si>
  <si>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</si>
  <si>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</si>
  <si>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</si>
  <si>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</si>
  <si>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</si>
  <si>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</si>
  <si>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</si>
  <si>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</si>
  <si>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</si>
  <si>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</si>
  <si>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</si>
  <si>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</si>
  <si>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</si>
  <si>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</si>
  <si>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</si>
  <si>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</si>
  <si>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</si>
  <si>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</si>
  <si>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</si>
  <si>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</si>
  <si>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</si>
  <si>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</si>
  <si>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</si>
  <si>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</si>
  <si>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</si>
  <si>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</si>
  <si>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</si>
  <si>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</si>
  <si>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</si>
  <si>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</si>
  <si>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</si>
  <si>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</si>
  <si>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</si>
  <si>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</si>
  <si>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</si>
  <si>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</si>
  <si>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</si>
  <si>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</si>
  <si>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</si>
  <si>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</si>
  <si>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</si>
  <si>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</si>
  <si>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</si>
  <si>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</si>
  <si>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</si>
  <si>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</si>
  <si>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</si>
  <si>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</si>
  <si>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</si>
  <si>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</si>
  <si>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</si>
  <si>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</si>
  <si>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</si>
  <si>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</si>
  <si>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</si>
  <si>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</si>
  <si>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</si>
  <si>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</si>
  <si>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</si>
  <si>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</si>
  <si>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</si>
  <si>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</si>
  <si>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</si>
  <si>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</si>
  <si>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</si>
  <si>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</si>
  <si>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</si>
  <si>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</si>
  <si>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</si>
  <si>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</si>
  <si>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</si>
  <si>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</si>
  <si>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</si>
  <si>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</si>
  <si>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</si>
  <si>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</si>
  <si>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</si>
  <si>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</si>
  <si>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</si>
  <si>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</si>
  <si>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</si>
  <si>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</si>
  <si>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</si>
  <si>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</si>
  <si>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</si>
  <si>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</si>
  <si>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</si>
  <si>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</si>
  <si>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</si>
  <si>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</si>
  <si>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</si>
  <si>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</si>
  <si>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</si>
  <si>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</si>
  <si>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</si>
  <si>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</si>
  <si>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</si>
  <si>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</si>
  <si>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</si>
  <si>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</si>
  <si>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</si>
  <si>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</si>
  <si>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</si>
  <si>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</si>
  <si>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</si>
  <si>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</si>
  <si>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</si>
  <si>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</si>
  <si>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</si>
  <si>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</si>
  <si>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</si>
  <si>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</si>
  <si>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</si>
  <si>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</si>
  <si>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</si>
  <si>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</si>
  <si>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</si>
  <si>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</si>
  <si>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</si>
  <si>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</si>
  <si>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</si>
  <si>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</si>
  <si>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</si>
  <si>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</si>
  <si>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</si>
  <si>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</si>
  <si>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</si>
  <si>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</si>
  <si>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</si>
  <si>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</si>
  <si>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</si>
  <si>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</si>
  <si>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</si>
  <si>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</si>
  <si>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</si>
  <si>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</si>
  <si>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</si>
  <si>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</si>
  <si>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</si>
  <si>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</si>
  <si>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</si>
  <si>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</si>
  <si>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</si>
  <si>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</si>
  <si>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</si>
  <si>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</si>
  <si>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</si>
  <si>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</si>
  <si>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</si>
  <si>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</si>
  <si>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</si>
  <si>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</si>
  <si>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</si>
  <si>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</si>
  <si>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</si>
  <si>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</si>
  <si>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</si>
  <si>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</si>
  <si>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</si>
  <si>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</si>
  <si>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</si>
  <si>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</si>
  <si>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</si>
  <si>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</si>
  <si>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</si>
  <si>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</si>
  <si>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</si>
  <si>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</si>
  <si>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</si>
  <si>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</si>
  <si>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</si>
  <si>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</si>
  <si>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</si>
  <si>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</si>
  <si>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</si>
  <si>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</si>
  <si>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</si>
  <si>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</si>
  <si>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</si>
  <si>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</si>
  <si>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</si>
  <si>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</si>
  <si>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</si>
  <si>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</si>
  <si>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</si>
  <si>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</si>
  <si>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</si>
  <si>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</si>
  <si>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</si>
  <si>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</si>
  <si>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</si>
  <si>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</si>
  <si>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</si>
  <si>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</si>
  <si>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</si>
  <si>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</si>
  <si>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</si>
  <si>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</si>
  <si>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</si>
  <si>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</si>
  <si>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</si>
  <si>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</si>
  <si>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</si>
  <si>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</si>
  <si>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</si>
  <si>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</si>
  <si>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</si>
  <si>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</si>
  <si>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</si>
  <si>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</si>
  <si>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</si>
  <si>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</si>
  <si>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</si>
  <si>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</si>
  <si>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</si>
  <si>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</si>
  <si>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</si>
  <si>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</si>
  <si>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</si>
  <si>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</si>
  <si>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</si>
  <si>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</si>
  <si>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</si>
  <si>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</si>
  <si>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</si>
  <si>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</si>
  <si>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</si>
  <si>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</si>
  <si>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</si>
  <si>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</si>
  <si>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</si>
  <si>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</si>
  <si>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</si>
  <si>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</si>
  <si>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</si>
  <si>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</si>
  <si>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</si>
  <si>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</si>
  <si>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</si>
  <si>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</si>
  <si>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</si>
  <si>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</si>
  <si>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</si>
  <si>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</si>
  <si>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</si>
  <si>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</si>
  <si>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</si>
  <si>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</si>
  <si>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</si>
  <si>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</si>
  <si>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</si>
  <si>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</si>
  <si>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</si>
  <si>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</si>
  <si>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</si>
  <si>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</si>
  <si>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</si>
  <si>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</si>
  <si>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</si>
  <si>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</si>
  <si>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</si>
  <si>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</si>
  <si>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</si>
  <si>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</si>
  <si>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</si>
  <si>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</si>
  <si>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</si>
  <si>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</si>
  <si>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</si>
  <si>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</si>
  <si>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</si>
  <si>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</si>
  <si>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</si>
  <si>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</si>
  <si>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</si>
  <si>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</si>
  <si>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</si>
  <si>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</si>
  <si>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</si>
  <si>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</si>
  <si>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</si>
  <si>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</si>
  <si>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</si>
  <si>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</si>
  <si>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</si>
  <si>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</si>
  <si>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</si>
  <si>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</si>
  <si>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</si>
  <si>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</si>
  <si>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</si>
  <si>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</si>
  <si>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</si>
  <si>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</si>
  <si>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</si>
  <si>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</si>
  <si>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</si>
  <si>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</si>
  <si>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</si>
  <si>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</si>
  <si>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</si>
  <si>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</si>
  <si>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</si>
  <si>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</si>
  <si>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</si>
  <si>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</si>
  <si>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</si>
  <si>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</si>
  <si>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</si>
  <si>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</si>
  <si>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</si>
  <si>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</si>
  <si>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</si>
  <si>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</si>
  <si>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</si>
  <si>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</si>
  <si>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</si>
  <si>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</si>
  <si>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</si>
  <si>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</si>
  <si>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</si>
  <si>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</si>
  <si>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</si>
  <si>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</si>
  <si>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</si>
  <si>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</si>
  <si>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</si>
  <si>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</si>
  <si>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</si>
  <si>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</si>
  <si>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</si>
  <si>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</si>
  <si>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</si>
  <si>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</si>
  <si>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</si>
  <si>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</si>
  <si>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</si>
  <si>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</si>
  <si>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</si>
  <si>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</si>
  <si>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</si>
  <si>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</si>
  <si>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</si>
  <si>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</si>
  <si>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</si>
  <si>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</si>
  <si>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</si>
  <si>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</si>
  <si>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</si>
  <si>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</si>
  <si>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</si>
  <si>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</si>
  <si>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</si>
  <si>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</si>
  <si>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</si>
  <si>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</si>
  <si>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</si>
  <si>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</si>
  <si>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</si>
  <si>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</si>
  <si>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</si>
  <si>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</si>
  <si>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</si>
  <si>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</si>
  <si>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</si>
  <si>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</si>
  <si>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</si>
  <si>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</si>
  <si>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</si>
  <si>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</si>
  <si>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</si>
  <si>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</si>
  <si>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</si>
  <si>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</si>
  <si>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</si>
  <si>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</si>
  <si>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</si>
  <si>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</si>
  <si>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</si>
  <si>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</si>
  <si>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</si>
  <si>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</si>
  <si>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</si>
  <si>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</si>
  <si>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</si>
  <si>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</si>
  <si>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</si>
  <si>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</si>
  <si>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</si>
  <si>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</si>
  <si>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</si>
  <si>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</si>
  <si>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</si>
  <si>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</si>
  <si>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</si>
  <si>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</si>
  <si>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</si>
  <si>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</si>
  <si>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</si>
  <si>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</si>
  <si>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</si>
  <si>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</si>
  <si>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</si>
  <si>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</si>
  <si>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</si>
  <si>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</si>
  <si>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</si>
  <si>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</si>
  <si>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</si>
  <si>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</si>
  <si>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</si>
  <si>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</si>
  <si>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</si>
  <si>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</si>
  <si>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</si>
  <si>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</si>
  <si>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</si>
  <si>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</si>
  <si>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</si>
  <si>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</si>
  <si>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</si>
  <si>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</si>
  <si>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</si>
  <si>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</si>
  <si>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</si>
  <si>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</si>
  <si>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</si>
  <si>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</si>
  <si>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</si>
  <si>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</si>
  <si>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</si>
  <si>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</si>
  <si>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</si>
  <si>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</si>
  <si>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</si>
  <si>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</si>
  <si>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</si>
  <si>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</si>
  <si>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</si>
  <si>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</si>
  <si>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</si>
  <si>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</si>
  <si>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</si>
  <si>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</si>
  <si>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</si>
  <si>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</si>
  <si>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</si>
  <si>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</si>
  <si>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</si>
  <si>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</si>
  <si>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</si>
  <si>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</si>
  <si>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</si>
  <si>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</si>
  <si>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</si>
  <si>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</si>
  <si>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</si>
  <si>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</si>
  <si>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</si>
  <si>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</si>
  <si>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</si>
  <si>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</si>
  <si>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</si>
  <si>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</si>
  <si>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</si>
  <si>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</si>
  <si>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</si>
  <si>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</si>
  <si>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</si>
  <si>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</si>
  <si>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</si>
  <si>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</si>
  <si>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</si>
  <si>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</si>
  <si>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</si>
  <si>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</si>
  <si>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</si>
  <si>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</si>
  <si>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</si>
  <si>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</si>
  <si>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</si>
  <si>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</si>
  <si>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</si>
  <si>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</si>
  <si>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</si>
  <si>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</si>
  <si>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</si>
  <si>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</si>
  <si>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</si>
  <si>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</si>
  <si>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</si>
  <si>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</si>
  <si>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</si>
  <si>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</si>
  <si>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</si>
  <si>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</si>
  <si>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</si>
  <si>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</si>
  <si>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</si>
  <si>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</si>
  <si>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</si>
  <si>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</si>
  <si>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</si>
  <si>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</si>
  <si>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</si>
  <si>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</si>
  <si>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</si>
  <si>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</si>
  <si>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</si>
  <si>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</si>
  <si>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</si>
  <si>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</si>
  <si>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</si>
  <si>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</si>
  <si>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</si>
  <si>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</si>
  <si>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</si>
  <si>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</si>
  <si>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</si>
  <si>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</si>
  <si>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</si>
  <si>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</si>
  <si>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</si>
  <si>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</si>
  <si>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</si>
  <si>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</si>
  <si>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</si>
  <si>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</si>
  <si>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</si>
  <si>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</si>
  <si>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</si>
  <si>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</si>
  <si>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</si>
  <si>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</si>
  <si>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</si>
  <si>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</si>
  <si>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</si>
  <si>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</si>
  <si>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</si>
  <si>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</si>
  <si>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</si>
  <si>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</si>
  <si>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</si>
  <si>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</si>
  <si>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</si>
  <si>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</si>
  <si>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</si>
  <si>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</si>
  <si>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</si>
  <si>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</si>
  <si>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</si>
  <si>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</si>
  <si>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</si>
  <si>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</si>
  <si>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</si>
  <si>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</si>
  <si>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</si>
  <si>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</si>
  <si>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</si>
  <si>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</si>
  <si>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</si>
  <si>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</si>
  <si>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</si>
  <si>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</si>
  <si>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</si>
  <si>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</si>
  <si>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</si>
  <si>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</si>
  <si>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</si>
  <si>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</si>
  <si>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</si>
  <si>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</si>
  <si>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</si>
  <si>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</si>
  <si>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</si>
  <si>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</si>
  <si>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</si>
  <si>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</si>
  <si>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</si>
  <si>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</si>
  <si>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</si>
  <si>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</si>
  <si>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</si>
  <si>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</si>
  <si>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</si>
  <si>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</si>
  <si>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</si>
  <si>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</si>
  <si>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</si>
  <si>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</si>
  <si>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</si>
  <si>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</si>
  <si>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</si>
  <si>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</si>
  <si>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</si>
  <si>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</si>
  <si>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</si>
  <si>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</si>
  <si>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</si>
  <si>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</si>
  <si>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</si>
  <si>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</si>
  <si>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</si>
  <si>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</si>
  <si>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</si>
  <si>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</si>
  <si>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</si>
  <si>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</si>
  <si>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</si>
  <si>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</si>
  <si>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</si>
  <si>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</si>
  <si>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</si>
  <si>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</si>
  <si>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</si>
  <si>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</si>
  <si>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</si>
  <si>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</si>
  <si>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</si>
  <si>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</si>
  <si>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</si>
  <si>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</si>
  <si>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</si>
  <si>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</si>
  <si>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</si>
  <si>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</si>
  <si>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</si>
  <si>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</si>
  <si>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</si>
  <si>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</si>
  <si>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</si>
  <si>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</si>
  <si>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</si>
  <si>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</si>
  <si>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</si>
  <si>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</si>
  <si>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</si>
  <si>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</si>
  <si>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</si>
  <si>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</si>
  <si>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</si>
  <si>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</si>
  <si>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</si>
  <si>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</si>
  <si>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</si>
  <si>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</si>
  <si>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</si>
  <si>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</si>
  <si>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</si>
  <si>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</si>
  <si>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</si>
  <si>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</si>
  <si>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</si>
  <si>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</si>
  <si>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</si>
  <si>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</si>
  <si>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</si>
  <si>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</si>
  <si>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</si>
  <si>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</si>
  <si>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</si>
  <si>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</si>
  <si>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</si>
  <si>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</si>
  <si>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</si>
  <si>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</si>
  <si>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</si>
  <si>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</si>
  <si>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</si>
  <si>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</si>
  <si>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</si>
  <si>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</si>
  <si>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</si>
  <si>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</si>
  <si>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</si>
  <si>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</si>
  <si>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</si>
  <si>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</si>
  <si>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</si>
  <si>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</si>
  <si>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</si>
  <si>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</si>
  <si>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</si>
  <si>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</si>
  <si>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</si>
  <si>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</si>
  <si>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</si>
  <si>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</si>
  <si>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</si>
  <si>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</si>
  <si>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</si>
  <si>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</si>
  <si>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</si>
  <si>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</si>
  <si>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</si>
  <si>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</si>
  <si>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</si>
  <si>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</si>
  <si>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</si>
  <si>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</si>
  <si>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</si>
  <si>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</si>
  <si>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</si>
  <si>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</si>
  <si>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</si>
  <si>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</si>
  <si>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</si>
  <si>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</si>
  <si>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</si>
  <si>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</si>
  <si>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</si>
  <si>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</si>
  <si>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</si>
  <si>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</si>
  <si>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</si>
  <si>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</si>
  <si>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</si>
  <si>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</si>
  <si>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</si>
  <si>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</si>
  <si>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</si>
  <si>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</si>
  <si>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</si>
  <si>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</si>
  <si>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</si>
  <si>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</si>
  <si>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</si>
  <si>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</si>
  <si>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</si>
  <si>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</si>
  <si>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</si>
  <si>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</si>
  <si>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</si>
  <si>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</si>
  <si>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</si>
  <si>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</si>
  <si>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</si>
  <si>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</si>
  <si>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</si>
  <si>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</si>
  <si>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</si>
  <si>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</si>
  <si>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</si>
  <si>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</si>
  <si>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</si>
  <si>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</si>
  <si>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</si>
  <si>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</si>
  <si>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</si>
  <si>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</si>
  <si>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</si>
  <si>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</si>
  <si>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</si>
  <si>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</si>
  <si>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</si>
  <si>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</si>
  <si>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</si>
  <si>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</si>
  <si>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</si>
  <si>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</si>
  <si>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</si>
  <si>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</si>
  <si>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</si>
  <si>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</si>
  <si>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</si>
  <si>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</si>
  <si>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</si>
  <si>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</si>
  <si>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</si>
  <si>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</si>
  <si>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</si>
  <si>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</si>
  <si>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</si>
  <si>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</si>
  <si>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</si>
  <si>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</si>
  <si>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</si>
  <si>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</si>
  <si>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</si>
  <si>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</si>
  <si>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</si>
  <si>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</si>
  <si>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</si>
  <si>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</si>
  <si>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</si>
  <si>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</si>
  <si>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</si>
  <si>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</si>
  <si>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</si>
  <si>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</si>
  <si>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</si>
  <si>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</si>
  <si>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</si>
  <si>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</si>
  <si>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</si>
  <si>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</si>
  <si>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</si>
  <si>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</si>
  <si>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</si>
  <si>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</si>
  <si>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</si>
  <si>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</si>
  <si>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</si>
  <si>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</si>
  <si>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</si>
  <si>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</si>
  <si>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</si>
  <si>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</si>
  <si>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</si>
  <si>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</si>
  <si>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</si>
  <si>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</si>
  <si>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</si>
  <si>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</si>
  <si>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</si>
  <si>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</si>
  <si>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</si>
  <si>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</si>
  <si>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</si>
  <si>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</si>
  <si>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</si>
  <si>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</si>
  <si>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</si>
  <si>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</si>
  <si>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</si>
  <si>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</si>
  <si>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</si>
  <si>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</si>
  <si>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</si>
  <si>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</si>
  <si>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</si>
  <si>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</si>
  <si>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</si>
  <si>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</si>
  <si>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</si>
  <si>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</si>
  <si>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</si>
  <si>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</si>
  <si>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</si>
  <si>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</si>
  <si>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</si>
  <si>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</si>
  <si>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</si>
  <si>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</si>
  <si>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</si>
  <si>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</si>
  <si>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</si>
  <si>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</si>
  <si>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</si>
  <si>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</si>
  <si>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</si>
  <si>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</si>
  <si>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</si>
  <si>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</si>
  <si>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</si>
  <si>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</si>
  <si>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</si>
  <si>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</si>
  <si>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</si>
  <si>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</si>
  <si>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</si>
  <si>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</si>
  <si>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</si>
  <si>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</si>
  <si>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</si>
  <si>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</si>
  <si>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</si>
  <si>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</si>
  <si>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</si>
  <si>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</si>
  <si>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</si>
  <si>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</si>
  <si>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</si>
  <si>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</si>
  <si>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</si>
  <si>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</si>
  <si>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</si>
  <si>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</si>
  <si>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</si>
  <si>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</si>
  <si>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</si>
  <si>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</si>
  <si>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</si>
  <si>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</si>
  <si>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</si>
  <si>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</si>
  <si>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</si>
  <si>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</si>
  <si>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</si>
  <si>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</si>
  <si>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</si>
  <si>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</si>
  <si>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</si>
  <si>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</si>
  <si>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</si>
  <si>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</si>
  <si>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</si>
  <si>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</si>
  <si>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</si>
  <si>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</si>
  <si>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</si>
  <si>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</si>
  <si>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</si>
  <si>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</si>
  <si>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</si>
  <si>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</si>
  <si>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</si>
  <si>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</si>
  <si>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</si>
  <si>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</si>
  <si>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</si>
  <si>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</si>
  <si>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</si>
  <si>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</si>
  <si>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</si>
  <si>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</si>
  <si>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</si>
  <si>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</si>
  <si>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</si>
  <si>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</si>
  <si>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</si>
  <si>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</si>
  <si>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</si>
  <si>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</si>
  <si>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</si>
  <si>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</si>
  <si>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</si>
  <si>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</si>
  <si>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</si>
  <si>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</si>
  <si>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</si>
  <si>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</si>
  <si>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</si>
  <si>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</si>
  <si>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</si>
  <si>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</si>
  <si>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</si>
  <si>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</si>
  <si>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</si>
  <si>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</si>
  <si>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</si>
  <si>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</si>
  <si>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</si>
  <si>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</si>
  <si>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</si>
  <si>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</si>
  <si>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</si>
  <si>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</si>
  <si>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</si>
  <si>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</si>
  <si>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</si>
  <si>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</si>
  <si>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</si>
  <si>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</si>
  <si>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</si>
  <si>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</si>
  <si>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</si>
  <si>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</si>
  <si>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</si>
  <si>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</si>
  <si>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</si>
  <si>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</si>
  <si>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</si>
  <si>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</si>
  <si>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</si>
  <si>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</si>
  <si>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</si>
  <si>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</si>
  <si>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</si>
  <si>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</si>
  <si>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</si>
  <si>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</si>
  <si>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</si>
  <si>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</si>
  <si>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</si>
  <si>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</si>
  <si>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</si>
  <si>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</si>
  <si>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</si>
  <si>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</si>
  <si>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</si>
  <si>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</si>
  <si>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</si>
  <si>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</si>
  <si>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</si>
  <si>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</si>
  <si>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</si>
  <si>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</si>
  <si>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</si>
  <si>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</si>
  <si>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</si>
  <si>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</si>
  <si>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</si>
  <si>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</si>
  <si>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</si>
  <si>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</si>
  <si>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</si>
  <si>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</si>
  <si>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</si>
  <si>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</si>
  <si>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</si>
  <si>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</si>
  <si>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</si>
  <si>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</si>
  <si>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</si>
  <si>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</si>
  <si>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</si>
  <si>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</si>
  <si>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</si>
  <si>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</si>
  <si>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</si>
  <si>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</si>
  <si>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</si>
  <si>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</si>
  <si>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</si>
  <si>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</si>
  <si>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</si>
  <si>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</si>
  <si>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</si>
  <si>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</si>
  <si>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</si>
  <si>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</si>
  <si>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</si>
  <si>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</si>
  <si>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</si>
  <si>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</si>
  <si>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</si>
  <si>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</si>
  <si>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</si>
  <si>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</si>
  <si>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</si>
  <si>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</si>
  <si>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</si>
  <si>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</si>
  <si>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</si>
  <si>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</si>
  <si>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</si>
  <si>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</si>
  <si>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</si>
  <si>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</si>
  <si>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</si>
  <si>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</si>
  <si>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</si>
  <si>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</si>
  <si>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</si>
  <si>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</si>
  <si>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</si>
  <si>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</si>
  <si>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</si>
  <si>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</si>
  <si>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</si>
  <si>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</si>
  <si>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</si>
  <si>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</si>
  <si>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</si>
  <si>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</si>
  <si>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</si>
  <si>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</si>
  <si>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</si>
  <si>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</si>
  <si>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</si>
  <si>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</si>
  <si>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</si>
  <si>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</si>
  <si>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</si>
  <si>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</si>
  <si>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</si>
  <si>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</si>
  <si>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</si>
  <si>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</si>
  <si>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</si>
  <si>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</si>
  <si>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</si>
  <si>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</si>
  <si>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</si>
  <si>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</si>
  <si>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</si>
  <si>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</si>
  <si>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</si>
  <si>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</si>
  <si>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</si>
  <si>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</si>
  <si>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</si>
  <si>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</si>
  <si>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</si>
  <si>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</si>
  <si>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</si>
  <si>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</si>
  <si>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</si>
  <si>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</si>
  <si>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</si>
  <si>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</si>
  <si>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</si>
  <si>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</si>
  <si>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</si>
  <si>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</si>
  <si>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</si>
  <si>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</si>
  <si>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</si>
  <si>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</si>
  <si>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</si>
  <si>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</si>
  <si>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</si>
  <si>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</si>
  <si>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</si>
  <si>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</si>
  <si>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</si>
  <si>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</si>
  <si>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</si>
  <si>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</si>
  <si>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</si>
  <si>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</si>
  <si>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</si>
  <si>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</si>
  <si>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</si>
  <si>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</si>
  <si>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</si>
  <si>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</si>
  <si>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</si>
  <si>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</si>
  <si>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</si>
  <si>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</si>
  <si>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</si>
  <si>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</si>
  <si>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</si>
  <si>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</si>
  <si>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</si>
  <si>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</si>
  <si>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</si>
  <si>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</si>
  <si>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</si>
  <si>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</si>
  <si>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</si>
  <si>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</si>
  <si>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</si>
  <si>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</si>
  <si>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</si>
  <si>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</si>
  <si>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</si>
  <si>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</si>
  <si>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</si>
  <si>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</si>
  <si>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</si>
  <si>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</si>
  <si>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</si>
  <si>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</si>
  <si>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</si>
  <si>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</si>
  <si>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</si>
  <si>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</si>
  <si>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</si>
  <si>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</si>
  <si>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</si>
  <si>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</si>
  <si>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</si>
  <si>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</si>
  <si>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</si>
  <si>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</si>
  <si>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</si>
  <si>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</si>
  <si>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</si>
  <si>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</si>
  <si>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</si>
  <si>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</si>
  <si>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</si>
  <si>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</si>
  <si>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</si>
  <si>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</si>
  <si>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</si>
  <si>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</si>
  <si>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</si>
  <si>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</si>
  <si>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</si>
  <si>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</si>
  <si>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</si>
  <si>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</si>
  <si>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</si>
  <si>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</si>
  <si>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</si>
  <si>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</si>
  <si>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</si>
  <si>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</si>
  <si>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</si>
  <si>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</si>
  <si>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</si>
  <si>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</si>
  <si>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</si>
  <si>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</si>
  <si>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</si>
  <si>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</si>
  <si>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</si>
  <si>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</si>
  <si>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</si>
  <si>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</si>
  <si>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</si>
  <si>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</si>
  <si>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</si>
  <si>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</si>
  <si>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</si>
  <si>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</si>
  <si>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</si>
  <si>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</si>
  <si>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</si>
  <si>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</si>
  <si>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</si>
  <si>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</si>
  <si>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</si>
  <si>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</si>
  <si>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</si>
  <si>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</si>
  <si>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</si>
  <si>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</si>
  <si>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</si>
  <si>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</si>
  <si>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</si>
  <si>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</si>
  <si>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</si>
  <si>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</si>
  <si>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</si>
  <si>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</si>
  <si>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</si>
  <si>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</si>
  <si>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</si>
  <si>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</si>
  <si>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</si>
  <si>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</si>
  <si>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</si>
  <si>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</si>
  <si>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</si>
  <si>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</si>
  <si>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</si>
  <si>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</si>
  <si>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</si>
  <si>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</si>
  <si>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</si>
  <si>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</si>
  <si>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</si>
  <si>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</si>
  <si>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</si>
  <si>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</si>
  <si>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</si>
  <si>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</si>
  <si>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</si>
  <si>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</si>
  <si>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</si>
  <si>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</si>
  <si>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</si>
  <si>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</si>
  <si>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</si>
  <si>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</si>
  <si>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</si>
  <si>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</si>
  <si>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</si>
  <si>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</si>
  <si>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</si>
  <si>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</si>
  <si>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</si>
  <si>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</si>
  <si>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</si>
  <si>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</si>
  <si>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</si>
  <si>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</si>
  <si>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</si>
  <si>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</si>
  <si>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</si>
  <si>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</si>
  <si>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</si>
  <si>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</si>
  <si>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</si>
  <si>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</si>
  <si>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</si>
  <si>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</si>
  <si>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</si>
  <si>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</si>
  <si>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</si>
  <si>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</si>
  <si>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</si>
  <si>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</si>
  <si>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</si>
  <si>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</si>
  <si>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</si>
  <si>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</si>
  <si>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</si>
  <si>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</si>
  <si>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</si>
  <si>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</si>
  <si>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</si>
  <si>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</si>
  <si>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</si>
  <si>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</si>
  <si>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</si>
  <si>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</si>
  <si>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</si>
  <si>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</si>
  <si>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</si>
  <si>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</si>
  <si>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</si>
  <si>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</si>
  <si>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</si>
  <si>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</si>
  <si>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</si>
  <si>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</si>
  <si>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</si>
  <si>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</si>
  <si>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</si>
  <si>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</si>
  <si>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</si>
  <si>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</si>
  <si>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</si>
  <si>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</si>
  <si>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</si>
  <si>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</si>
  <si>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</si>
  <si>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</si>
  <si>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</si>
  <si>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</si>
  <si>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</si>
  <si>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</si>
  <si>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</si>
  <si>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</si>
  <si>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</si>
  <si>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</si>
  <si>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</si>
  <si>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</si>
  <si>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</si>
  <si>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</si>
  <si>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</si>
  <si>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</si>
  <si>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</si>
  <si>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</si>
  <si>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</si>
  <si>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</si>
  <si>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</si>
  <si>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</si>
  <si>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</si>
  <si>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</si>
  <si>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</si>
  <si>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</si>
  <si>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</si>
  <si>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</si>
  <si>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</si>
  <si>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</si>
  <si>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</si>
  <si>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</si>
  <si>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</si>
  <si>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</si>
  <si>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</si>
  <si>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</si>
  <si>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</si>
  <si>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</si>
  <si>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</si>
  <si>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</si>
  <si>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</si>
  <si>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</si>
  <si>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</si>
  <si>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</si>
  <si>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</si>
  <si>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</si>
  <si>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</si>
  <si>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</si>
  <si>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</si>
  <si>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</si>
  <si>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</si>
  <si>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</si>
  <si>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</si>
  <si>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</si>
  <si>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</si>
  <si>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</si>
  <si>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</si>
  <si>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</si>
  <si>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</si>
  <si>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</si>
  <si>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</si>
  <si>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</si>
  <si>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</si>
  <si>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</si>
  <si>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</si>
  <si>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</si>
  <si>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</si>
  <si>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</si>
  <si>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</si>
  <si>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</si>
  <si>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</si>
  <si>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</si>
  <si>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</si>
  <si>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</si>
  <si>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</si>
  <si>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</si>
  <si>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</si>
  <si>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</si>
  <si>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</si>
  <si>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</si>
  <si>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</si>
  <si>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</si>
  <si>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</si>
  <si>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</si>
  <si>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</si>
  <si>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</si>
  <si>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</si>
  <si>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</si>
  <si>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</si>
  <si>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</si>
  <si>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</si>
  <si>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</si>
  <si>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</si>
  <si>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</si>
  <si>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</si>
  <si>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</si>
  <si>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</si>
  <si>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</si>
  <si>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</si>
  <si>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</si>
  <si>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</si>
  <si>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</si>
  <si>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</si>
  <si>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</si>
  <si>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</si>
  <si>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</si>
  <si>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</si>
  <si>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</si>
  <si>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</si>
  <si>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</si>
  <si>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</si>
  <si>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</si>
  <si>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</si>
  <si>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</si>
  <si>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</si>
  <si>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</si>
  <si>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</si>
  <si>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</si>
  <si>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</si>
  <si>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</si>
  <si>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</si>
  <si>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</si>
  <si>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</si>
  <si>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</si>
  <si>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</si>
  <si>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</si>
  <si>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</si>
  <si>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</si>
  <si>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</si>
  <si>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</si>
  <si>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</si>
  <si>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</si>
  <si>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</si>
  <si>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</si>
  <si>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</si>
  <si>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</si>
  <si>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</si>
  <si>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</si>
  <si>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</si>
  <si>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</si>
  <si>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</si>
  <si>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</si>
  <si>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</si>
  <si>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</si>
  <si>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</si>
  <si>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</si>
  <si>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</si>
  <si>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</si>
  <si>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</si>
  <si>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</si>
  <si>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</si>
  <si>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</si>
  <si>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</si>
  <si>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</si>
  <si>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</si>
  <si>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</si>
  <si>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</si>
  <si>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</si>
  <si>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</si>
  <si>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</si>
  <si>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</si>
  <si>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</si>
  <si>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</si>
  <si>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</si>
  <si>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</si>
  <si>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</si>
  <si>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</si>
  <si>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</si>
  <si>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</si>
  <si>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</si>
  <si>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</si>
  <si>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</si>
  <si>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</si>
  <si>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</si>
  <si>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</si>
  <si>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</si>
  <si>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</si>
  <si>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</si>
  <si>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</si>
  <si>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</si>
  <si>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</si>
  <si>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</si>
  <si>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</si>
  <si>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</si>
  <si>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</si>
  <si>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</si>
  <si>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</si>
  <si>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</si>
  <si>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</si>
  <si>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</si>
  <si>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</si>
  <si>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</si>
  <si>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</si>
  <si>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</si>
  <si>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</si>
  <si>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</si>
  <si>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</si>
  <si>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</si>
  <si>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</si>
  <si>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</si>
  <si>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</si>
  <si>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</si>
  <si>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</si>
  <si>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</si>
  <si>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</si>
  <si>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</si>
  <si>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</si>
  <si>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Pike Job#179998</t>
  </si>
  <si>
    <t>D. J. Rossetti, Inc.</t>
  </si>
  <si>
    <t>322 Charlton Rd.</t>
  </si>
  <si>
    <t>Ballston Spa</t>
  </si>
  <si>
    <t>14-1642873</t>
  </si>
  <si>
    <t>Katina Noonan</t>
  </si>
  <si>
    <t>Payroll Administrator</t>
  </si>
  <si>
    <t>Cement Masons and Concrete Finishers</t>
  </si>
  <si>
    <t>Construction Laborers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</si>
</sst>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25" xfId="0" applyFont="1" applyFill="1" applyBorder="1" applyAlignment="1" applyProtection="1">
      <protection locked="0"/>
    </xf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26</xdr:col>
          <xdr:colOff>19050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228600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obCode_table" displayName="JobCode_table" ref="A1:A10" totalsRowShown="0" headerRowDxfId="4" dataDxfId="3" tableBorderDxfId="2">
  <autoFilter ref="A1:A10" xr:uid="{00000000-0009-0000-0100-000001000000}"/>
  <tableColumns count="1">
    <tableColumn id="1" xr3:uid="{00000000-0010-0000-0000-000001000000}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JobTitle_table" displayName="JobTitle_table" ref="B1:J267" totalsRowShown="0">
  <autoFilter ref="B1:J267" xr:uid="{00000000-0009-0000-0100-000002000000}"/>
  <tableColumns count="9">
    <tableColumn id="1" xr3:uid="{00000000-0010-0000-0100-000001000000}" name="Executive_SeniorOfficers_Mgrs"/>
    <tableColumn id="2" xr3:uid="{00000000-0010-0000-0100-000002000000}" name="First_MidOfficers_Mgrs"/>
    <tableColumn id="3" xr3:uid="{00000000-0010-0000-0100-000003000000}" name="Professionals" dataDxfId="0"/>
    <tableColumn id="4" xr3:uid="{00000000-0010-0000-0100-000004000000}" name="Technicians"/>
    <tableColumn id="5" xr3:uid="{00000000-0010-0000-0100-000005000000}" name="Administrative_Support_Workers"/>
    <tableColumn id="6" xr3:uid="{00000000-0010-0000-0100-000006000000}" name="Craft_Workers"/>
    <tableColumn id="7" xr3:uid="{00000000-0010-0000-0100-000007000000}" name="Operatives"/>
    <tableColumn id="8" xr3:uid="{00000000-0010-0000-0100-000008000000}" name="Labors_Helpers"/>
    <tableColumn id="9" xr3:uid="{00000000-0010-0000-0100-000009000000}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54"/>
  <sheetViews>
    <sheetView showGridLines="0" tabSelected="1" topLeftCell="A17" zoomScaleNormal="100" zoomScalePageLayoutView="96" workbookViewId="0">
      <selection activeCell="N27" sqref="N27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71" t="s">
        <v>322</v>
      </c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9" t="s">
        <v>0</v>
      </c>
      <c r="E5" s="134"/>
      <c r="F5" s="134"/>
      <c r="G5" s="130"/>
      <c r="H5" s="130"/>
      <c r="I5" s="170" t="s">
        <v>321</v>
      </c>
      <c r="J5" s="170"/>
      <c r="K5" s="170"/>
      <c r="L5" s="170"/>
      <c r="M5" s="170"/>
      <c r="N5" s="170"/>
      <c r="O5" s="170"/>
      <c r="P5" s="170"/>
      <c r="Q5" s="134"/>
      <c r="R5" s="135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84"/>
      <c r="F6" s="182"/>
      <c r="G6" s="132"/>
      <c r="H6" s="40"/>
      <c r="I6" s="182"/>
      <c r="J6" s="182"/>
      <c r="K6" s="182"/>
      <c r="L6" s="182"/>
      <c r="M6" s="182"/>
      <c r="N6" s="182"/>
      <c r="O6" s="182"/>
      <c r="P6" s="182"/>
      <c r="Q6" s="132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1"/>
      <c r="N7" s="181"/>
      <c r="O7" s="181"/>
      <c r="P7" s="181"/>
      <c r="Q7" s="132"/>
      <c r="R7" s="71"/>
      <c r="S7" s="43" t="s">
        <v>6</v>
      </c>
      <c r="T7" s="116"/>
      <c r="U7" s="70"/>
      <c r="V7" s="2"/>
      <c r="W7" s="2"/>
      <c r="X7" s="172" t="s">
        <v>1841</v>
      </c>
      <c r="Y7" s="176"/>
      <c r="Z7" s="176"/>
      <c r="AA7" s="176"/>
      <c r="AB7" s="176"/>
      <c r="AC7" s="176"/>
      <c r="AD7" s="176"/>
      <c r="AE7" s="177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51" t="s">
        <v>1837</v>
      </c>
      <c r="E8" s="151"/>
      <c r="F8" s="151"/>
      <c r="G8" s="70"/>
      <c r="H8" s="41"/>
      <c r="I8" s="163"/>
      <c r="J8" s="183"/>
      <c r="K8" s="164"/>
      <c r="L8" s="163"/>
      <c r="M8" s="164"/>
      <c r="N8" s="131"/>
      <c r="O8" s="163"/>
      <c r="P8" s="164"/>
      <c r="Q8" s="132"/>
      <c r="R8" s="38"/>
      <c r="S8" s="43" t="s">
        <v>7</v>
      </c>
      <c r="T8" s="116"/>
      <c r="U8" s="53"/>
      <c r="V8" s="2"/>
      <c r="W8" s="2"/>
      <c r="X8" s="178" t="s">
        <v>1842</v>
      </c>
      <c r="Y8" s="179"/>
      <c r="Z8" s="179"/>
      <c r="AA8" s="179"/>
      <c r="AB8" s="179"/>
      <c r="AC8" s="179"/>
      <c r="AD8" s="179"/>
      <c r="AE8" s="180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51" t="s">
        <v>1838</v>
      </c>
      <c r="E9" s="151"/>
      <c r="F9" s="151"/>
      <c r="G9" s="70"/>
      <c r="H9" s="41"/>
      <c r="I9" s="163"/>
      <c r="J9" s="183"/>
      <c r="K9" s="164"/>
      <c r="L9" s="163"/>
      <c r="M9" s="164"/>
      <c r="N9" s="131"/>
      <c r="O9" s="163"/>
      <c r="P9" s="164"/>
      <c r="Q9" s="132"/>
      <c r="R9" s="38"/>
      <c r="S9" s="43" t="s">
        <v>8</v>
      </c>
      <c r="T9" s="116"/>
      <c r="U9" s="70"/>
      <c r="V9" s="2"/>
      <c r="W9" s="2"/>
      <c r="X9" s="86"/>
      <c r="Y9" s="87"/>
      <c r="Z9" s="87"/>
      <c r="AA9" s="87"/>
      <c r="AB9" s="88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1839</v>
      </c>
      <c r="E10" s="32" t="s">
        <v>451</v>
      </c>
      <c r="F10" s="32">
        <v>12020</v>
      </c>
      <c r="G10" s="70"/>
      <c r="H10" s="41"/>
      <c r="I10" s="152"/>
      <c r="J10" s="152"/>
      <c r="K10" s="152"/>
      <c r="L10" s="152"/>
      <c r="M10" s="152"/>
      <c r="N10" s="127"/>
      <c r="O10" s="152"/>
      <c r="P10" s="152"/>
      <c r="Q10" s="132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67" t="s">
        <v>1840</v>
      </c>
      <c r="E11" s="168"/>
      <c r="F11" s="169"/>
      <c r="G11" s="53"/>
      <c r="H11" s="41"/>
      <c r="I11" s="152"/>
      <c r="J11" s="152"/>
      <c r="K11" s="152"/>
      <c r="L11" s="152"/>
      <c r="M11" s="152"/>
      <c r="N11" s="127"/>
      <c r="O11" s="152"/>
      <c r="P11" s="152"/>
      <c r="Q11" s="132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72"/>
      <c r="E13" s="173"/>
      <c r="F13" s="174"/>
      <c r="G13" s="115"/>
      <c r="H13" s="41"/>
      <c r="I13" s="162" t="s">
        <v>5</v>
      </c>
      <c r="J13" s="162"/>
      <c r="K13" s="162"/>
      <c r="L13" s="162"/>
      <c r="M13" s="162"/>
      <c r="N13" s="162"/>
      <c r="O13" s="162"/>
      <c r="P13" s="162"/>
      <c r="Q13" s="133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51" t="s">
        <v>1835</v>
      </c>
      <c r="E14" s="151"/>
      <c r="F14" s="151"/>
      <c r="G14" s="70"/>
      <c r="H14" s="41"/>
      <c r="I14" s="152"/>
      <c r="J14" s="152"/>
      <c r="K14" s="152"/>
      <c r="L14" s="152"/>
      <c r="M14" s="152"/>
      <c r="N14" s="152"/>
      <c r="O14" s="152"/>
      <c r="P14" s="152"/>
      <c r="Q14" s="132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 t="s">
        <v>1836</v>
      </c>
      <c r="E15" s="41"/>
      <c r="F15" s="41"/>
      <c r="G15" s="41"/>
      <c r="H15" s="41"/>
      <c r="I15" s="152"/>
      <c r="J15" s="152"/>
      <c r="K15" s="152"/>
      <c r="L15" s="152"/>
      <c r="M15" s="152"/>
      <c r="N15" s="152"/>
      <c r="O15" s="152"/>
      <c r="P15" s="152"/>
      <c r="Q15" s="132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6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53" t="s">
        <v>11</v>
      </c>
      <c r="D18" s="165" t="s">
        <v>9</v>
      </c>
      <c r="E18" s="153" t="s">
        <v>10</v>
      </c>
      <c r="F18" s="157" t="s">
        <v>1825</v>
      </c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158"/>
      <c r="AB18" s="158"/>
      <c r="AC18" s="158"/>
      <c r="AD18" s="158"/>
      <c r="AE18" s="158"/>
      <c r="AF18" s="158"/>
      <c r="AG18" s="158"/>
      <c r="AH18" s="158"/>
      <c r="AI18" s="159"/>
      <c r="AJ18" s="2"/>
      <c r="AK18" s="2"/>
    </row>
    <row r="19" spans="1:37" ht="46.5" customHeight="1" thickBot="1" x14ac:dyDescent="0.3">
      <c r="A19" s="2"/>
      <c r="B19" s="2"/>
      <c r="C19" s="154"/>
      <c r="D19" s="166"/>
      <c r="E19" s="154"/>
      <c r="F19" s="155" t="s">
        <v>1</v>
      </c>
      <c r="G19" s="155"/>
      <c r="H19" s="155"/>
      <c r="I19" s="155"/>
      <c r="J19" s="155"/>
      <c r="K19" s="156"/>
      <c r="L19" s="160" t="s">
        <v>13</v>
      </c>
      <c r="M19" s="155"/>
      <c r="N19" s="155"/>
      <c r="O19" s="155"/>
      <c r="P19" s="155"/>
      <c r="Q19" s="156"/>
      <c r="R19" s="160" t="s">
        <v>12</v>
      </c>
      <c r="S19" s="155"/>
      <c r="T19" s="155"/>
      <c r="U19" s="155"/>
      <c r="V19" s="155"/>
      <c r="W19" s="156"/>
      <c r="X19" s="185" t="s">
        <v>1826</v>
      </c>
      <c r="Y19" s="186"/>
      <c r="Z19" s="186"/>
      <c r="AA19" s="186"/>
      <c r="AB19" s="186"/>
      <c r="AC19" s="187"/>
      <c r="AD19" s="143" t="s">
        <v>14</v>
      </c>
      <c r="AE19" s="144"/>
      <c r="AF19" s="144"/>
      <c r="AG19" s="144"/>
      <c r="AH19" s="144"/>
      <c r="AI19" s="145"/>
      <c r="AJ19" s="2"/>
      <c r="AK19" s="2"/>
    </row>
    <row r="20" spans="1:37" ht="15.75" thickBot="1" x14ac:dyDescent="0.3">
      <c r="A20" s="2"/>
      <c r="B20" s="2"/>
      <c r="C20" s="154"/>
      <c r="D20" s="166"/>
      <c r="E20" s="154"/>
      <c r="F20" s="149" t="s">
        <v>2</v>
      </c>
      <c r="G20" s="149"/>
      <c r="H20" s="150"/>
      <c r="I20" s="148" t="s">
        <v>3</v>
      </c>
      <c r="J20" s="149"/>
      <c r="K20" s="150"/>
      <c r="L20" s="148" t="s">
        <v>2</v>
      </c>
      <c r="M20" s="149"/>
      <c r="N20" s="150"/>
      <c r="O20" s="148" t="s">
        <v>3</v>
      </c>
      <c r="P20" s="149"/>
      <c r="Q20" s="150"/>
      <c r="R20" s="148" t="s">
        <v>2</v>
      </c>
      <c r="S20" s="149"/>
      <c r="T20" s="150"/>
      <c r="U20" s="148" t="s">
        <v>3</v>
      </c>
      <c r="V20" s="149"/>
      <c r="W20" s="150"/>
      <c r="X20" s="148" t="s">
        <v>2</v>
      </c>
      <c r="Y20" s="149"/>
      <c r="Z20" s="150"/>
      <c r="AA20" s="148" t="s">
        <v>3</v>
      </c>
      <c r="AB20" s="149"/>
      <c r="AC20" s="150"/>
      <c r="AD20" s="148" t="s">
        <v>2</v>
      </c>
      <c r="AE20" s="149"/>
      <c r="AF20" s="150"/>
      <c r="AG20" s="148" t="s">
        <v>3</v>
      </c>
      <c r="AH20" s="149"/>
      <c r="AI20" s="150"/>
      <c r="AJ20" s="2"/>
      <c r="AK20" s="2"/>
    </row>
    <row r="21" spans="1:37" ht="24" customHeight="1" thickBot="1" x14ac:dyDescent="0.3">
      <c r="A21" s="2"/>
      <c r="B21" s="2"/>
      <c r="C21" s="89"/>
      <c r="D21" s="90"/>
      <c r="E21" s="89"/>
      <c r="F21" s="91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2"/>
      <c r="D22" s="92"/>
      <c r="E22" s="93"/>
      <c r="F22" s="97"/>
      <c r="G22" s="97"/>
      <c r="H22" s="95"/>
      <c r="I22" s="97"/>
      <c r="J22" s="97"/>
      <c r="K22" s="95"/>
      <c r="L22" s="98"/>
      <c r="M22" s="98"/>
      <c r="N22" s="117"/>
      <c r="O22" s="98"/>
      <c r="P22" s="98"/>
      <c r="Q22" s="117"/>
      <c r="R22" s="99"/>
      <c r="S22" s="99"/>
      <c r="T22" s="119"/>
      <c r="U22" s="99"/>
      <c r="V22" s="99"/>
      <c r="W22" s="119"/>
      <c r="X22" s="100"/>
      <c r="Y22" s="100"/>
      <c r="Z22" s="121"/>
      <c r="AA22" s="100"/>
      <c r="AB22" s="100"/>
      <c r="AC22" s="121"/>
      <c r="AD22" s="101"/>
      <c r="AE22" s="101"/>
      <c r="AF22" s="123"/>
      <c r="AG22" s="102"/>
      <c r="AH22" s="101"/>
      <c r="AI22" s="125"/>
      <c r="AJ22" s="2"/>
      <c r="AK22" s="2"/>
    </row>
    <row r="23" spans="1:37" ht="24" customHeight="1" thickBot="1" x14ac:dyDescent="0.3">
      <c r="A23" s="2"/>
      <c r="B23" s="2"/>
      <c r="C23" s="33"/>
      <c r="D23" s="33"/>
      <c r="E23" s="93" t="str">
        <f>IF(ISERROR(VLOOKUP(D23,Sheet3!$A$2:$B$821,2,FALSE)),"",(VLOOKUP(D23,Sheet3!$A$2:$B$821,2,FALSE)))</f>
        <v/>
      </c>
      <c r="F23" s="97"/>
      <c r="G23" s="97"/>
      <c r="H23" s="95"/>
      <c r="I23" s="97"/>
      <c r="J23" s="97"/>
      <c r="K23" s="95"/>
      <c r="L23" s="98"/>
      <c r="M23" s="98"/>
      <c r="N23" s="117"/>
      <c r="O23" s="98"/>
      <c r="P23" s="98"/>
      <c r="Q23" s="117"/>
      <c r="R23" s="99"/>
      <c r="S23" s="99"/>
      <c r="T23" s="119"/>
      <c r="U23" s="99"/>
      <c r="V23" s="99"/>
      <c r="W23" s="119"/>
      <c r="X23" s="100"/>
      <c r="Y23" s="100"/>
      <c r="Z23" s="121"/>
      <c r="AA23" s="100"/>
      <c r="AB23" s="100"/>
      <c r="AC23" s="121"/>
      <c r="AD23" s="101"/>
      <c r="AE23" s="101"/>
      <c r="AF23" s="123"/>
      <c r="AG23" s="102"/>
      <c r="AH23" s="101"/>
      <c r="AI23" s="125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3" t="str">
        <f>IF(ISERROR(VLOOKUP(D24,Sheet3!$A$2:$B$821,2,FALSE)),"",(VLOOKUP(D24,Sheet3!$A$2:$B$821,2,FALSE)))</f>
        <v/>
      </c>
      <c r="F24" s="97"/>
      <c r="G24" s="97"/>
      <c r="H24" s="95"/>
      <c r="I24" s="97"/>
      <c r="J24" s="97"/>
      <c r="K24" s="95"/>
      <c r="L24" s="98"/>
      <c r="M24" s="98"/>
      <c r="N24" s="117"/>
      <c r="O24" s="98"/>
      <c r="P24" s="98"/>
      <c r="Q24" s="117"/>
      <c r="R24" s="99"/>
      <c r="S24" s="99"/>
      <c r="T24" s="119"/>
      <c r="U24" s="99"/>
      <c r="V24" s="99"/>
      <c r="W24" s="119"/>
      <c r="X24" s="100"/>
      <c r="Y24" s="100"/>
      <c r="Z24" s="121"/>
      <c r="AA24" s="100"/>
      <c r="AB24" s="100"/>
      <c r="AC24" s="121"/>
      <c r="AD24" s="101"/>
      <c r="AE24" s="101"/>
      <c r="AF24" s="123"/>
      <c r="AG24" s="102"/>
      <c r="AH24" s="101"/>
      <c r="AI24" s="125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3" t="str">
        <f>IF(ISERROR(VLOOKUP(D25,Sheet3!$A$2:$B$821,2,FALSE)),"",(VLOOKUP(D25,Sheet3!$A$2:$B$821,2,FALSE)))</f>
        <v/>
      </c>
      <c r="F25" s="97"/>
      <c r="G25" s="97"/>
      <c r="H25" s="95"/>
      <c r="I25" s="97"/>
      <c r="J25" s="97"/>
      <c r="K25" s="95"/>
      <c r="L25" s="98"/>
      <c r="M25" s="98"/>
      <c r="N25" s="117"/>
      <c r="O25" s="98"/>
      <c r="P25" s="98"/>
      <c r="Q25" s="117"/>
      <c r="R25" s="99"/>
      <c r="S25" s="99"/>
      <c r="T25" s="119"/>
      <c r="U25" s="99"/>
      <c r="V25" s="99"/>
      <c r="W25" s="119"/>
      <c r="X25" s="100"/>
      <c r="Y25" s="100"/>
      <c r="Z25" s="121"/>
      <c r="AA25" s="100"/>
      <c r="AB25" s="100"/>
      <c r="AC25" s="121"/>
      <c r="AD25" s="101"/>
      <c r="AE25" s="101"/>
      <c r="AF25" s="123"/>
      <c r="AG25" s="102"/>
      <c r="AH25" s="101"/>
      <c r="AI25" s="125"/>
      <c r="AJ25" s="2"/>
      <c r="AK25" s="2"/>
    </row>
    <row r="26" spans="1:37" ht="24" customHeight="1" thickBot="1" x14ac:dyDescent="0.3">
      <c r="A26" s="2"/>
      <c r="B26" s="2"/>
      <c r="C26" s="33" t="s">
        <v>319</v>
      </c>
      <c r="D26" s="33" t="s">
        <v>1843</v>
      </c>
      <c r="E26" s="93" t="str">
        <f>IF(ISERROR(VLOOKUP(D26,Sheet3!$A$2:$B$821,2,FALSE)),"",(VLOOKUP(D26,Sheet3!$A$2:$B$821,2,FALSE)))</f>
        <v>47-2051</v>
      </c>
      <c r="F26" s="97">
        <v>6</v>
      </c>
      <c r="G26" s="97">
        <v>53</v>
      </c>
      <c r="H26" s="95"/>
      <c r="I26" s="97"/>
      <c r="J26" s="97"/>
      <c r="K26" s="95"/>
      <c r="L26" s="98"/>
      <c r="M26" s="98"/>
      <c r="N26" s="117"/>
      <c r="O26" s="98"/>
      <c r="P26" s="98"/>
      <c r="Q26" s="117"/>
      <c r="R26" s="99"/>
      <c r="S26" s="99"/>
      <c r="T26" s="119"/>
      <c r="U26" s="99"/>
      <c r="V26" s="99"/>
      <c r="W26" s="119"/>
      <c r="X26" s="100"/>
      <c r="Y26" s="100"/>
      <c r="Z26" s="121"/>
      <c r="AA26" s="100"/>
      <c r="AB26" s="100"/>
      <c r="AC26" s="121"/>
      <c r="AD26" s="101"/>
      <c r="AE26" s="101"/>
      <c r="AF26" s="123"/>
      <c r="AG26" s="102"/>
      <c r="AH26" s="101"/>
      <c r="AI26" s="125"/>
      <c r="AJ26" s="2"/>
      <c r="AK26" s="2"/>
    </row>
    <row r="27" spans="1:37" ht="24" customHeight="1" thickBot="1" x14ac:dyDescent="0.3">
      <c r="A27" s="2"/>
      <c r="B27" s="2"/>
      <c r="C27" s="33" t="s">
        <v>320</v>
      </c>
      <c r="D27" s="33" t="s">
        <v>1844</v>
      </c>
      <c r="E27" s="93" t="str">
        <f>IF(ISERROR(VLOOKUP(D27,Sheet3!$A$2:$B$821,2,FALSE)),"",(VLOOKUP(D27,Sheet3!$A$2:$B$821,2,FALSE)))</f>
        <v>47-2061</v>
      </c>
      <c r="F27" s="97">
        <v>5</v>
      </c>
      <c r="G27" s="97">
        <v>40</v>
      </c>
      <c r="H27" s="95"/>
      <c r="I27" s="97"/>
      <c r="J27" s="97"/>
      <c r="K27" s="95"/>
      <c r="L27" s="98">
        <v>1</v>
      </c>
      <c r="M27" s="98">
        <v>8</v>
      </c>
      <c r="N27" s="117"/>
      <c r="O27" s="98"/>
      <c r="P27" s="98"/>
      <c r="Q27" s="117"/>
      <c r="R27" s="99"/>
      <c r="S27" s="99"/>
      <c r="T27" s="119"/>
      <c r="U27" s="99"/>
      <c r="V27" s="99"/>
      <c r="W27" s="119"/>
      <c r="X27" s="100"/>
      <c r="Y27" s="100"/>
      <c r="Z27" s="121"/>
      <c r="AA27" s="100"/>
      <c r="AB27" s="100"/>
      <c r="AC27" s="121"/>
      <c r="AD27" s="101"/>
      <c r="AE27" s="101"/>
      <c r="AF27" s="123"/>
      <c r="AG27" s="102"/>
      <c r="AH27" s="101"/>
      <c r="AI27" s="125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3" t="str">
        <f>IF(ISERROR(VLOOKUP(D28,Sheet3!$A$2:$B$821,2,FALSE)),"",(VLOOKUP(D28,Sheet3!$A$2:$B$821,2,FALSE)))</f>
        <v/>
      </c>
      <c r="F28" s="97"/>
      <c r="G28" s="97"/>
      <c r="H28" s="95"/>
      <c r="I28" s="97"/>
      <c r="J28" s="97"/>
      <c r="K28" s="95"/>
      <c r="L28" s="98"/>
      <c r="M28" s="98"/>
      <c r="N28" s="117"/>
      <c r="O28" s="98"/>
      <c r="P28" s="98"/>
      <c r="Q28" s="117"/>
      <c r="R28" s="99"/>
      <c r="S28" s="99"/>
      <c r="T28" s="119"/>
      <c r="U28" s="99"/>
      <c r="V28" s="99"/>
      <c r="W28" s="119"/>
      <c r="X28" s="100"/>
      <c r="Y28" s="100"/>
      <c r="Z28" s="121"/>
      <c r="AA28" s="100"/>
      <c r="AB28" s="100"/>
      <c r="AC28" s="121"/>
      <c r="AD28" s="101"/>
      <c r="AE28" s="101"/>
      <c r="AF28" s="123"/>
      <c r="AG28" s="102"/>
      <c r="AH28" s="101"/>
      <c r="AI28" s="125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3" t="str">
        <f>IF(ISERROR(VLOOKUP(D29,Sheet3!$A$2:$B$821,2,FALSE)),"",(VLOOKUP(D29,Sheet3!$A$2:$B$821,2,FALSE)))</f>
        <v/>
      </c>
      <c r="F29" s="97"/>
      <c r="G29" s="97"/>
      <c r="H29" s="95"/>
      <c r="I29" s="97"/>
      <c r="J29" s="97"/>
      <c r="K29" s="95"/>
      <c r="L29" s="98"/>
      <c r="M29" s="98"/>
      <c r="N29" s="117"/>
      <c r="O29" s="98"/>
      <c r="P29" s="98"/>
      <c r="Q29" s="117"/>
      <c r="R29" s="99"/>
      <c r="S29" s="99"/>
      <c r="T29" s="119"/>
      <c r="U29" s="99"/>
      <c r="V29" s="99"/>
      <c r="W29" s="119"/>
      <c r="X29" s="100"/>
      <c r="Y29" s="100"/>
      <c r="Z29" s="121"/>
      <c r="AA29" s="100"/>
      <c r="AB29" s="100"/>
      <c r="AC29" s="121"/>
      <c r="AD29" s="101"/>
      <c r="AE29" s="101"/>
      <c r="AF29" s="123"/>
      <c r="AG29" s="102"/>
      <c r="AH29" s="101"/>
      <c r="AI29" s="125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3" t="str">
        <f>IF(ISERROR(VLOOKUP(D30,Sheet3!$A$2:$B$821,2,FALSE)),"",(VLOOKUP(D30,Sheet3!$A$2:$B$821,2,FALSE)))</f>
        <v/>
      </c>
      <c r="F30" s="97"/>
      <c r="G30" s="97"/>
      <c r="H30" s="95"/>
      <c r="I30" s="97"/>
      <c r="J30" s="97"/>
      <c r="K30" s="95"/>
      <c r="L30" s="98"/>
      <c r="M30" s="98"/>
      <c r="N30" s="117"/>
      <c r="O30" s="98"/>
      <c r="P30" s="98"/>
      <c r="Q30" s="117"/>
      <c r="R30" s="99"/>
      <c r="S30" s="99"/>
      <c r="T30" s="119"/>
      <c r="U30" s="99"/>
      <c r="V30" s="99"/>
      <c r="W30" s="119"/>
      <c r="X30" s="100"/>
      <c r="Y30" s="100"/>
      <c r="Z30" s="121"/>
      <c r="AA30" s="100"/>
      <c r="AB30" s="100"/>
      <c r="AC30" s="121"/>
      <c r="AD30" s="101"/>
      <c r="AE30" s="101"/>
      <c r="AF30" s="123"/>
      <c r="AG30" s="102"/>
      <c r="AH30" s="101"/>
      <c r="AI30" s="125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3" t="str">
        <f>IF(ISERROR(VLOOKUP(D31,Sheet3!$A$2:$B$821,2,FALSE)),"",(VLOOKUP(D31,Sheet3!$A$2:$B$821,2,FALSE)))</f>
        <v/>
      </c>
      <c r="F31" s="97"/>
      <c r="G31" s="97"/>
      <c r="H31" s="95"/>
      <c r="I31" s="97"/>
      <c r="J31" s="97"/>
      <c r="K31" s="95"/>
      <c r="L31" s="98"/>
      <c r="M31" s="98"/>
      <c r="N31" s="117"/>
      <c r="O31" s="98"/>
      <c r="P31" s="98"/>
      <c r="Q31" s="117"/>
      <c r="R31" s="99"/>
      <c r="S31" s="99"/>
      <c r="T31" s="119"/>
      <c r="U31" s="99"/>
      <c r="V31" s="99"/>
      <c r="W31" s="119"/>
      <c r="X31" s="100"/>
      <c r="Y31" s="100"/>
      <c r="Z31" s="121"/>
      <c r="AA31" s="100"/>
      <c r="AB31" s="100"/>
      <c r="AC31" s="121"/>
      <c r="AD31" s="101"/>
      <c r="AE31" s="101"/>
      <c r="AF31" s="123"/>
      <c r="AG31" s="102"/>
      <c r="AH31" s="101"/>
      <c r="AI31" s="125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3" t="str">
        <f>IF(ISERROR(VLOOKUP(D32,Sheet3!$A$2:$B$821,2,FALSE)),"",(VLOOKUP(D32,Sheet3!$A$2:$B$821,2,FALSE)))</f>
        <v/>
      </c>
      <c r="F32" s="97"/>
      <c r="G32" s="97"/>
      <c r="H32" s="95"/>
      <c r="I32" s="97"/>
      <c r="J32" s="97"/>
      <c r="K32" s="95"/>
      <c r="L32" s="98"/>
      <c r="M32" s="103"/>
      <c r="N32" s="118"/>
      <c r="O32" s="98"/>
      <c r="P32" s="103"/>
      <c r="Q32" s="118"/>
      <c r="R32" s="104"/>
      <c r="S32" s="104"/>
      <c r="T32" s="120"/>
      <c r="U32" s="104"/>
      <c r="V32" s="104"/>
      <c r="W32" s="120"/>
      <c r="X32" s="105"/>
      <c r="Y32" s="105"/>
      <c r="Z32" s="122"/>
      <c r="AA32" s="105"/>
      <c r="AB32" s="100"/>
      <c r="AC32" s="122"/>
      <c r="AD32" s="106"/>
      <c r="AE32" s="101"/>
      <c r="AF32" s="124"/>
      <c r="AG32" s="107"/>
      <c r="AH32" s="106"/>
      <c r="AI32" s="126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3" t="str">
        <f>IF(ISERROR(VLOOKUP(D33,Sheet3!$A$2:$B$821,2,FALSE)),"",(VLOOKUP(D33,Sheet3!$A$2:$B$821,2,FALSE)))</f>
        <v/>
      </c>
      <c r="F33" s="97"/>
      <c r="G33" s="97"/>
      <c r="H33" s="95"/>
      <c r="I33" s="97"/>
      <c r="J33" s="97"/>
      <c r="K33" s="95"/>
      <c r="L33" s="98"/>
      <c r="M33" s="98"/>
      <c r="N33" s="117"/>
      <c r="O33" s="98"/>
      <c r="P33" s="98"/>
      <c r="Q33" s="117"/>
      <c r="R33" s="99"/>
      <c r="S33" s="99"/>
      <c r="T33" s="119"/>
      <c r="U33" s="99"/>
      <c r="V33" s="99"/>
      <c r="W33" s="119"/>
      <c r="X33" s="100"/>
      <c r="Y33" s="100"/>
      <c r="Z33" s="121"/>
      <c r="AA33" s="100"/>
      <c r="AB33" s="100"/>
      <c r="AC33" s="121"/>
      <c r="AD33" s="101"/>
      <c r="AE33" s="101"/>
      <c r="AF33" s="125"/>
      <c r="AG33" s="101"/>
      <c r="AH33" s="101"/>
      <c r="AI33" s="125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3" t="str">
        <f>IF(ISERROR(VLOOKUP(D34,Sheet3!$A$2:$B$821,2,FALSE)),"",(VLOOKUP(D34,Sheet3!$A$2:$B$821,2,FALSE)))</f>
        <v/>
      </c>
      <c r="F34" s="97"/>
      <c r="G34" s="97"/>
      <c r="H34" s="95"/>
      <c r="I34" s="97"/>
      <c r="J34" s="108"/>
      <c r="K34" s="95"/>
      <c r="L34" s="98"/>
      <c r="M34" s="98"/>
      <c r="N34" s="117"/>
      <c r="O34" s="98"/>
      <c r="P34" s="109"/>
      <c r="Q34" s="117"/>
      <c r="R34" s="99"/>
      <c r="S34" s="99"/>
      <c r="T34" s="119"/>
      <c r="U34" s="99"/>
      <c r="V34" s="99"/>
      <c r="W34" s="119"/>
      <c r="X34" s="110"/>
      <c r="Y34" s="100"/>
      <c r="Z34" s="121"/>
      <c r="AA34" s="100"/>
      <c r="AB34" s="100"/>
      <c r="AC34" s="121"/>
      <c r="AD34" s="101"/>
      <c r="AE34" s="101"/>
      <c r="AF34" s="125"/>
      <c r="AG34" s="101"/>
      <c r="AH34" s="101"/>
      <c r="AI34" s="125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3" t="str">
        <f>IF(ISERROR(VLOOKUP(D35,Sheet3!$A$2:$B$821,2,FALSE)),"",(VLOOKUP(D35,Sheet3!$A$2:$B$821,2,FALSE)))</f>
        <v/>
      </c>
      <c r="F35" s="97"/>
      <c r="G35" s="97"/>
      <c r="H35" s="95"/>
      <c r="I35" s="97"/>
      <c r="J35" s="97"/>
      <c r="K35" s="95"/>
      <c r="L35" s="98"/>
      <c r="M35" s="98"/>
      <c r="N35" s="117"/>
      <c r="O35" s="98"/>
      <c r="P35" s="98"/>
      <c r="Q35" s="117"/>
      <c r="R35" s="111"/>
      <c r="S35" s="99"/>
      <c r="T35" s="119"/>
      <c r="U35" s="99"/>
      <c r="V35" s="99"/>
      <c r="W35" s="119"/>
      <c r="X35" s="100"/>
      <c r="Y35" s="100"/>
      <c r="Z35" s="121"/>
      <c r="AA35" s="100"/>
      <c r="AB35" s="100"/>
      <c r="AC35" s="121"/>
      <c r="AD35" s="101"/>
      <c r="AE35" s="101"/>
      <c r="AF35" s="125"/>
      <c r="AG35" s="112"/>
      <c r="AH35" s="101"/>
      <c r="AI35" s="125"/>
      <c r="AJ35" s="2"/>
      <c r="AK35" s="2"/>
    </row>
    <row r="36" spans="1:37" s="3" customFormat="1" ht="24.6" customHeight="1" thickBot="1" x14ac:dyDescent="0.3">
      <c r="A36" s="2"/>
      <c r="B36" s="2"/>
      <c r="C36" s="33"/>
      <c r="D36" s="94"/>
      <c r="E36" s="93" t="str">
        <f>IF(ISERROR(VLOOKUP(D36,Sheet3!$A$2:$B$821,2,FALSE)),"",(VLOOKUP(D36,Sheet3!$A$2:$B$821,2,FALSE)))</f>
        <v/>
      </c>
      <c r="F36" s="97"/>
      <c r="G36" s="97"/>
      <c r="H36" s="95"/>
      <c r="I36" s="97"/>
      <c r="J36" s="97"/>
      <c r="K36" s="95"/>
      <c r="L36" s="98"/>
      <c r="M36" s="98"/>
      <c r="N36" s="117"/>
      <c r="O36" s="98"/>
      <c r="P36" s="98"/>
      <c r="Q36" s="117"/>
      <c r="R36" s="99"/>
      <c r="S36" s="99"/>
      <c r="T36" s="119"/>
      <c r="U36" s="99"/>
      <c r="V36" s="99"/>
      <c r="W36" s="119"/>
      <c r="X36" s="100"/>
      <c r="Y36" s="100"/>
      <c r="Z36" s="121"/>
      <c r="AA36" s="110"/>
      <c r="AB36" s="100"/>
      <c r="AC36" s="121"/>
      <c r="AD36" s="112"/>
      <c r="AE36" s="101"/>
      <c r="AF36" s="125"/>
      <c r="AG36" s="101"/>
      <c r="AH36" s="101"/>
      <c r="AI36" s="125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3" t="str">
        <f>IF(ISERROR(VLOOKUP(D37,Sheet3!$A$2:$B$821,2,FALSE)),"",(VLOOKUP(D37,Sheet3!$A$2:$B$821,2,FALSE)))</f>
        <v/>
      </c>
      <c r="F37" s="97"/>
      <c r="G37" s="97"/>
      <c r="H37" s="95"/>
      <c r="I37" s="97"/>
      <c r="J37" s="97"/>
      <c r="K37" s="95"/>
      <c r="L37" s="98"/>
      <c r="M37" s="98"/>
      <c r="N37" s="117"/>
      <c r="O37" s="98"/>
      <c r="P37" s="98"/>
      <c r="Q37" s="117"/>
      <c r="R37" s="99"/>
      <c r="S37" s="99"/>
      <c r="T37" s="119"/>
      <c r="U37" s="99"/>
      <c r="V37" s="99"/>
      <c r="W37" s="119"/>
      <c r="X37" s="100"/>
      <c r="Y37" s="100"/>
      <c r="Z37" s="121"/>
      <c r="AA37" s="100"/>
      <c r="AB37" s="100"/>
      <c r="AC37" s="121"/>
      <c r="AD37" s="101"/>
      <c r="AE37" s="101"/>
      <c r="AF37" s="125"/>
      <c r="AG37" s="101"/>
      <c r="AH37" s="101"/>
      <c r="AI37" s="125"/>
      <c r="AJ37" s="2"/>
      <c r="AK37" s="2"/>
    </row>
    <row r="38" spans="1:37" s="3" customFormat="1" ht="15.75" thickBot="1" x14ac:dyDescent="0.3">
      <c r="A38" s="2"/>
      <c r="B38" s="2"/>
      <c r="C38" s="175"/>
      <c r="D38" s="175"/>
      <c r="E38" s="175"/>
      <c r="F38" s="113"/>
      <c r="G38" s="113"/>
      <c r="H38" s="83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46"/>
      <c r="T38" s="146"/>
      <c r="U38" s="147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2"/>
      <c r="AK38" s="2"/>
    </row>
    <row r="39" spans="1:37" s="3" customFormat="1" ht="15.75" thickBot="1" x14ac:dyDescent="0.3">
      <c r="A39" s="2"/>
      <c r="B39" s="2"/>
      <c r="C39" s="128"/>
      <c r="D39" s="128"/>
      <c r="E39" s="68"/>
      <c r="F39" s="96">
        <f>SUM(F22:F37)</f>
        <v>11</v>
      </c>
      <c r="G39" s="96">
        <f>SUM(G22:G37)</f>
        <v>93</v>
      </c>
      <c r="H39" s="114">
        <f>SUM(H22:H37)</f>
        <v>0</v>
      </c>
      <c r="I39" s="96">
        <f t="shared" ref="I39:AG39" si="0">SUM(I22:I37)</f>
        <v>0</v>
      </c>
      <c r="J39" s="96">
        <f t="shared" si="0"/>
        <v>0</v>
      </c>
      <c r="K39" s="114">
        <f t="shared" si="0"/>
        <v>0</v>
      </c>
      <c r="L39" s="96">
        <f t="shared" si="0"/>
        <v>1</v>
      </c>
      <c r="M39" s="96">
        <f t="shared" si="0"/>
        <v>8</v>
      </c>
      <c r="N39" s="114">
        <f>SUM(N22:N37)</f>
        <v>0</v>
      </c>
      <c r="O39" s="96">
        <f t="shared" si="0"/>
        <v>0</v>
      </c>
      <c r="P39" s="96">
        <f t="shared" si="0"/>
        <v>0</v>
      </c>
      <c r="Q39" s="114">
        <f>SUM(Q22:Q37)</f>
        <v>0</v>
      </c>
      <c r="R39" s="96">
        <f t="shared" si="0"/>
        <v>0</v>
      </c>
      <c r="S39" s="96">
        <f t="shared" si="0"/>
        <v>0</v>
      </c>
      <c r="T39" s="114">
        <f>SUM(T22:T37)</f>
        <v>0</v>
      </c>
      <c r="U39" s="96">
        <f t="shared" si="0"/>
        <v>0</v>
      </c>
      <c r="V39" s="96">
        <f t="shared" si="0"/>
        <v>0</v>
      </c>
      <c r="W39" s="114">
        <f>SUM(W22:W37)</f>
        <v>0</v>
      </c>
      <c r="X39" s="96">
        <f t="shared" si="0"/>
        <v>0</v>
      </c>
      <c r="Y39" s="96">
        <f t="shared" si="0"/>
        <v>0</v>
      </c>
      <c r="Z39" s="114">
        <f>SUM(Z22:Z37)</f>
        <v>0</v>
      </c>
      <c r="AA39" s="96">
        <f t="shared" si="0"/>
        <v>0</v>
      </c>
      <c r="AB39" s="96">
        <f t="shared" si="0"/>
        <v>0</v>
      </c>
      <c r="AC39" s="114">
        <f>SUM(AC22:AC37)</f>
        <v>0</v>
      </c>
      <c r="AD39" s="96">
        <f t="shared" si="0"/>
        <v>0</v>
      </c>
      <c r="AE39" s="96">
        <f t="shared" si="0"/>
        <v>0</v>
      </c>
      <c r="AF39" s="114">
        <f>SUM(AF22:AF37)</f>
        <v>0</v>
      </c>
      <c r="AG39" s="96">
        <f t="shared" si="0"/>
        <v>0</v>
      </c>
      <c r="AH39" s="96">
        <f t="shared" ref="AH39" si="1">SUM(AH22:AH37)</f>
        <v>0</v>
      </c>
      <c r="AI39" s="114">
        <f>SUM(AI22:AI37)</f>
        <v>0</v>
      </c>
      <c r="AJ39" s="2"/>
      <c r="AK39" s="2"/>
    </row>
    <row r="40" spans="1:37" s="3" customFormat="1" x14ac:dyDescent="0.25">
      <c r="A40" s="2"/>
      <c r="B40" s="2"/>
      <c r="C40" s="128"/>
      <c r="D40" s="128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8"/>
      <c r="D41" s="128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1"/>
      <c r="D42" s="161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37" t="s">
        <v>1829</v>
      </c>
      <c r="D43" s="138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39"/>
      <c r="D44" s="140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39"/>
      <c r="D45" s="140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39"/>
      <c r="D46" s="140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41"/>
      <c r="D47" s="142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 xr:uid="{00000000-0002-0000-0000-000000000000}">
      <formula1>JobCode</formula1>
    </dataValidation>
    <dataValidation type="list" allowBlank="1" showInputMessage="1" showErrorMessage="1" prompt="Please Select from Drop Down List" sqref="D22:D37" xr:uid="{00000000-0002-0000-0000-000001000000}">
      <formula1>INDIRECT(C22)</formula1>
    </dataValidation>
  </dataValidations>
  <pageMargins left="0.2" right="0.2" top="0.25" bottom="0.25" header="0.3" footer="0.3"/>
  <pageSetup paperSize="5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26</xdr:col>
                    <xdr:colOff>19050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228600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 xr:uid="{00000000-0002-0000-0000-000002000000}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 xr:uid="{00000000-0002-0000-0000-000003000000}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 xr:uid="{00000000-0004-0000-0300-000000000000}"/>
    <hyperlink ref="A5" r:id="rId2" display="http://www.p12.nysed.gov/repcrd2005/links/c02_dist.shtml" xr:uid="{00000000-0004-0000-0300-000001000000}"/>
    <hyperlink ref="A6" r:id="rId3" display="http://www.p12.nysed.gov/repcrd2005/links/c32_schl.shtml" xr:uid="{00000000-0004-0000-0300-000002000000}"/>
    <hyperlink ref="A7" r:id="rId4" display="http://www.p12.nysed.gov/repcrd2005/links/c03_dist.shtml" xr:uid="{00000000-0004-0000-0300-000003000000}"/>
    <hyperlink ref="A8" r:id="rId5" display="http://www.p12.nysed.gov/repcrd2005/links/c04_dist.shtml" xr:uid="{00000000-0004-0000-0300-000004000000}"/>
    <hyperlink ref="A9" r:id="rId6" display="http://www.p12.nysed.gov/repcrd2005/links/c05_dist.shtml" xr:uid="{00000000-0004-0000-0300-000005000000}"/>
    <hyperlink ref="A10" r:id="rId7" display="http://www.p12.nysed.gov/repcrd2005/links/c06_dist.shtml" xr:uid="{00000000-0004-0000-0300-000006000000}"/>
    <hyperlink ref="A11" r:id="rId8" display="http://www.p12.nysed.gov/repcrd2005/links/c07_dist.shtml" xr:uid="{00000000-0004-0000-0300-000007000000}"/>
    <hyperlink ref="A12" r:id="rId9" display="http://www.p12.nysed.gov/repcrd2005/links/c08_dist.shtml" xr:uid="{00000000-0004-0000-0300-000008000000}"/>
    <hyperlink ref="A13" r:id="rId10" display="http://www.p12.nysed.gov/repcrd2005/links/c09_dist.shtml" xr:uid="{00000000-0004-0000-0300-000009000000}"/>
    <hyperlink ref="A14" r:id="rId11" display="http://www.p12.nysed.gov/repcrd2005/links/c10_dist.shtml" xr:uid="{00000000-0004-0000-0300-00000A000000}"/>
    <hyperlink ref="A15" r:id="rId12" display="http://www.p12.nysed.gov/repcrd2005/links/c11_dist.shtml" xr:uid="{00000000-0004-0000-0300-00000B000000}"/>
    <hyperlink ref="A16" r:id="rId13" display="http://www.p12.nysed.gov/repcrd2005/links/c12_dist.shtml" xr:uid="{00000000-0004-0000-0300-00000C000000}"/>
    <hyperlink ref="A17" r:id="rId14" display="http://www.p12.nysed.gov/repcrd2005/links/c13_dist.shtml" xr:uid="{00000000-0004-0000-0300-00000D000000}"/>
    <hyperlink ref="A18" r:id="rId15" display="http://www.p12.nysed.gov/repcrd2005/links/c14_dist.shtml" xr:uid="{00000000-0004-0000-0300-00000E000000}"/>
    <hyperlink ref="A19" r:id="rId16" display="http://www.p12.nysed.gov/repcrd2005/links/c15_dist.shtml" xr:uid="{00000000-0004-0000-0300-00000F000000}"/>
    <hyperlink ref="A20" r:id="rId17" display="http://www.p12.nysed.gov/repcrd2005/links/c16_dist.shtml" xr:uid="{00000000-0004-0000-0300-000010000000}"/>
    <hyperlink ref="A21" r:id="rId18" display="http://www.p12.nysed.gov/repcrd2005/links/c17_dist.shtml" xr:uid="{00000000-0004-0000-0300-000011000000}"/>
    <hyperlink ref="A22" r:id="rId19" display="http://www.p12.nysed.gov/repcrd2005/links/c18_dist.shtml" xr:uid="{00000000-0004-0000-0300-000012000000}"/>
    <hyperlink ref="A23" r:id="rId20" display="http://www.p12.nysed.gov/repcrd2005/links/c19_dist.shtml" xr:uid="{00000000-0004-0000-0300-000013000000}"/>
    <hyperlink ref="A24" r:id="rId21" display="http://www.p12.nysed.gov/repcrd2005/links/c20_dist.shtml" xr:uid="{00000000-0004-0000-0300-000014000000}"/>
    <hyperlink ref="A25" r:id="rId22" display="http://www.p12.nysed.gov/repcrd2005/links/c21_dist.shtml" xr:uid="{00000000-0004-0000-0300-000015000000}"/>
    <hyperlink ref="A26" r:id="rId23" display="http://www.p12.nysed.gov/repcrd2005/links/c22_dist.shtml" xr:uid="{00000000-0004-0000-0300-000016000000}"/>
    <hyperlink ref="A27" r:id="rId24" display="http://www.p12.nysed.gov/repcrd2005/links/c33_schl.shtml" xr:uid="{00000000-0004-0000-0300-000017000000}"/>
    <hyperlink ref="A28" r:id="rId25" display="http://www.p12.nysed.gov/repcrd2005/links/c23_dist.shtml" xr:uid="{00000000-0004-0000-0300-000018000000}"/>
    <hyperlink ref="A29" r:id="rId26" display="http://www.p12.nysed.gov/repcrd2005/links/c24_dist.shtml" xr:uid="{00000000-0004-0000-0300-000019000000}"/>
    <hyperlink ref="A30" r:id="rId27" display="http://www.p12.nysed.gov/repcrd2005/links/c25_dist.shtml" xr:uid="{00000000-0004-0000-0300-00001A000000}"/>
    <hyperlink ref="A31" r:id="rId28" display="http://www.p12.nysed.gov/repcrd2005/links/c26_dist.shtml" xr:uid="{00000000-0004-0000-0300-00001B000000}"/>
    <hyperlink ref="A32" r:id="rId29" display="http://www.p12.nysed.gov/repcrd2005/links/c27_dist.shtml" xr:uid="{00000000-0004-0000-0300-00001C000000}"/>
    <hyperlink ref="A33" r:id="rId30" display="http://www.p12.nysed.gov/repcrd2005/links/c28_dist.shtml" xr:uid="{00000000-0004-0000-0300-00001D000000}"/>
    <hyperlink ref="A34" r:id="rId31" display="http://www.p12.nysed.gov/repcrd2005/links/c31_schl.shtml" xr:uid="{00000000-0004-0000-0300-00001E000000}"/>
    <hyperlink ref="A35" r:id="rId32" display="http://www.p12.nysed.gov/repcrd2005/links/c40_dist.shtml" xr:uid="{00000000-0004-0000-0300-00001F000000}"/>
    <hyperlink ref="A36" r:id="rId33" display="http://www.p12.nysed.gov/repcrd2005/links/c41_dist.shtml" xr:uid="{00000000-0004-0000-0300-000020000000}"/>
    <hyperlink ref="A37" r:id="rId34" display="http://www.p12.nysed.gov/repcrd2005/links/c42_dist.shtml" xr:uid="{00000000-0004-0000-0300-000021000000}"/>
    <hyperlink ref="A38" r:id="rId35" display="http://www.p12.nysed.gov/repcrd2005/links/c43_dist.shtml" xr:uid="{00000000-0004-0000-0300-000022000000}"/>
    <hyperlink ref="A39" r:id="rId36" display="http://www.p12.nysed.gov/repcrd2005/links/c44_dist.shtml" xr:uid="{00000000-0004-0000-0300-000023000000}"/>
    <hyperlink ref="A40" r:id="rId37" display="http://www.p12.nysed.gov/repcrd2005/links/c45_dist.shtml" xr:uid="{00000000-0004-0000-0300-000024000000}"/>
    <hyperlink ref="A41" r:id="rId38" display="http://www.p12.nysed.gov/repcrd2005/links/c46_dist.shtml" xr:uid="{00000000-0004-0000-0300-000025000000}"/>
    <hyperlink ref="A42" r:id="rId39" display="http://www.p12.nysed.gov/repcrd2005/links/c47_dist.shtml" xr:uid="{00000000-0004-0000-0300-000026000000}"/>
    <hyperlink ref="A43" r:id="rId40" display="http://www.p12.nysed.gov/repcrd2005/links/c48_dist.shtml" xr:uid="{00000000-0004-0000-0300-000027000000}"/>
    <hyperlink ref="A44" r:id="rId41" display="http://www.p12.nysed.gov/repcrd2005/links/c34_schl.shtml" xr:uid="{00000000-0004-0000-0300-000028000000}"/>
    <hyperlink ref="A45" r:id="rId42" display="http://www.p12.nysed.gov/repcrd2005/links/c49_dist.shtml" xr:uid="{00000000-0004-0000-0300-000029000000}"/>
    <hyperlink ref="A46" r:id="rId43" display="http://www.p12.nysed.gov/repcrd2005/links/c35_schl.shtml" xr:uid="{00000000-0004-0000-0300-00002A000000}"/>
    <hyperlink ref="A47" r:id="rId44" display="http://www.p12.nysed.gov/repcrd2005/links/c50_dist.shtml" xr:uid="{00000000-0004-0000-0300-00002B000000}"/>
    <hyperlink ref="A48" r:id="rId45" display="http://www.p12.nysed.gov/repcrd2005/links/c51_dist.shtml" xr:uid="{00000000-0004-0000-0300-00002C000000}"/>
    <hyperlink ref="A49" r:id="rId46" display="http://www.p12.nysed.gov/repcrd2005/links/c52_dist.shtml" xr:uid="{00000000-0004-0000-0300-00002D000000}"/>
    <hyperlink ref="A50" r:id="rId47" display="http://www.p12.nysed.gov/repcrd2005/links/c53_dist.shtml" xr:uid="{00000000-0004-0000-0300-00002E000000}"/>
    <hyperlink ref="A51" r:id="rId48" display="http://www.p12.nysed.gov/repcrd2005/links/c54_dist.shtml" xr:uid="{00000000-0004-0000-0300-00002F000000}"/>
    <hyperlink ref="A52" r:id="rId49" display="http://www.p12.nysed.gov/repcrd2005/links/c55_dist.shtml" xr:uid="{00000000-0004-0000-0300-000030000000}"/>
    <hyperlink ref="A53" r:id="rId50" display="http://www.p12.nysed.gov/repcrd2005/links/c56_dist.shtml" xr:uid="{00000000-0004-0000-0300-000031000000}"/>
    <hyperlink ref="A54" r:id="rId51" display="http://www.p12.nysed.gov/repcrd2005/links/c57_dist.shtml" xr:uid="{00000000-0004-0000-0300-000032000000}"/>
    <hyperlink ref="A55" r:id="rId52" display="http://www.p12.nysed.gov/repcrd2005/links/c58_dist.shtml" xr:uid="{00000000-0004-0000-0300-000033000000}"/>
    <hyperlink ref="A56" r:id="rId53" display="http://www.p12.nysed.gov/repcrd2005/links/c59_dist.shtml" xr:uid="{00000000-0004-0000-0300-000034000000}"/>
    <hyperlink ref="A57" r:id="rId54" display="http://www.p12.nysed.gov/repcrd2005/links/c60_dist.shtml" xr:uid="{00000000-0004-0000-0300-000035000000}"/>
    <hyperlink ref="A58" r:id="rId55" display="http://www.p12.nysed.gov/repcrd2005/links/c61_dist.shtml" xr:uid="{00000000-0004-0000-0300-000036000000}"/>
    <hyperlink ref="A59" r:id="rId56" display="http://www.p12.nysed.gov/repcrd2005/links/c62_dist.shtml" xr:uid="{00000000-0004-0000-0300-000037000000}"/>
    <hyperlink ref="A60" r:id="rId57" display="http://www.p12.nysed.gov/repcrd2005/links/c63_dist.shtml" xr:uid="{00000000-0004-0000-0300-000038000000}"/>
    <hyperlink ref="A61" r:id="rId58" display="http://www.p12.nysed.gov/repcrd2005/links/c64_dist.shtml" xr:uid="{00000000-0004-0000-0300-000039000000}"/>
    <hyperlink ref="A62" r:id="rId59" display="http://www.p12.nysed.gov/repcrd2005/links/c65_dist.shtml" xr:uid="{00000000-0004-0000-0300-00003A000000}"/>
    <hyperlink ref="A63" r:id="rId60" display="http://www.p12.nysed.gov/repcrd2005/links/c66_dist.shtml" xr:uid="{00000000-0004-0000-0300-00003B000000}"/>
    <hyperlink ref="A64" r:id="rId61" display="http://www.p12.nysed.gov/repcrd2005/links/c67_dist.shtml" xr:uid="{00000000-0004-0000-0300-00003C000000}"/>
    <hyperlink ref="A65" r:id="rId62" display="http://www.p12.nysed.gov/repcrd2005/links/c68_dist.shtml" xr:uid="{00000000-0004-0000-0300-00003D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TechQuest</cp:lastModifiedBy>
  <cp:lastPrinted>2017-12-08T15:57:11Z</cp:lastPrinted>
  <dcterms:created xsi:type="dcterms:W3CDTF">2016-01-07T15:16:02Z</dcterms:created>
  <dcterms:modified xsi:type="dcterms:W3CDTF">2018-04-26T13:12:37Z</dcterms:modified>
</cp:coreProperties>
</file>