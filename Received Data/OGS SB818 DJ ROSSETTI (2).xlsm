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tinan\Documents\"/>
    </mc:Choice>
  </mc:AlternateContent>
  <xr:revisionPtr revIDLastSave="0" documentId="8_{1FAD2953-7266-4537-8705-62E86C513751}" xr6:coauthVersionLast="34" xr6:coauthVersionMax="34" xr10:uidLastSave="{00000000-0000-0000-0000-000000000000}"/>
  <bookViews>
    <workbookView xWindow="0" yWindow="0" windowWidth="28800" windowHeight="11625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<sst xmlns="http://schemas.openxmlformats.org/spreadsheetml/2006/main" count="2107" uniqueCount="1845">
  <si>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</si>
  <si>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</si>
  <si>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</si>
  <si>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</si>
  <si>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</si>
  <si>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</si>
  <si>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</si>
  <si>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</si>
  <si>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</si>
  <si>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</si>
  <si>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</si>
  <si>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</si>
  <si>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</si>
  <si>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</si>
  <si>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</si>
  <si>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</si>
  <si>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</si>
  <si>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</si>
  <si>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</si>
  <si>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</si>
  <si>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</si>
  <si>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</si>
  <si>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</si>
  <si>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</si>
  <si>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</si>
  <si>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</si>
  <si>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</si>
  <si>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</si>
  <si>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</si>
  <si>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</si>
  <si>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</si>
  <si>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</si>
  <si>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</si>
  <si>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</si>
  <si>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</si>
  <si>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</si>
  <si>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</si>
  <si>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</si>
  <si>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</si>
  <si>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</si>
  <si>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</si>
  <si>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</si>
  <si>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</si>
  <si>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</si>
  <si>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</si>
  <si>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</si>
  <si>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</si>
  <si>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</si>
  <si>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</si>
  <si>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</si>
  <si>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</si>
  <si>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</si>
  <si>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</si>
  <si>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</si>
  <si>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</si>
  <si>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</si>
  <si>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</si>
  <si>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</si>
  <si>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</si>
  <si>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</si>
  <si>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</si>
  <si>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</si>
  <si>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</si>
  <si>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</si>
  <si>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</si>
  <si>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</si>
  <si>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</si>
  <si>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</si>
  <si>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</si>
  <si>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</si>
  <si>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</si>
  <si>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</si>
  <si>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</si>
  <si>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</si>
  <si>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</si>
  <si>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</si>
  <si>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</si>
  <si>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</si>
  <si>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</si>
  <si>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</si>
  <si>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</si>
  <si>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</si>
  <si>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</si>
  <si>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</si>
  <si>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</si>
  <si>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</si>
  <si>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</si>
  <si>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</si>
  <si>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</si>
  <si>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</si>
  <si>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</si>
  <si>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</si>
  <si>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</si>
  <si>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</si>
  <si>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</si>
  <si>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</si>
  <si>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</si>
  <si>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</si>
  <si>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</si>
  <si>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</si>
  <si>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</si>
  <si>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</si>
  <si>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</si>
  <si>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</si>
  <si>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</si>
  <si>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</si>
  <si>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</si>
  <si>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</si>
  <si>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</si>
  <si>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</si>
  <si>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</si>
  <si>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</si>
  <si>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</si>
  <si>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</si>
  <si>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</si>
  <si>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</si>
  <si>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</si>
  <si>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</si>
  <si>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</si>
  <si>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</si>
  <si>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</si>
  <si>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</si>
  <si>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</si>
  <si>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</si>
  <si>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</si>
  <si>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</si>
  <si>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</si>
  <si>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</si>
  <si>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</si>
  <si>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</si>
  <si>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</si>
  <si>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</si>
  <si>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</si>
  <si>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</si>
  <si>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</si>
  <si>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</si>
  <si>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</si>
  <si>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</si>
  <si>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</si>
  <si>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</si>
  <si>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</si>
  <si>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</si>
  <si>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</si>
  <si>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</si>
  <si>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</si>
  <si>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</si>
  <si>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</si>
  <si>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</si>
  <si>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</si>
  <si>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</si>
  <si>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</si>
  <si>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</si>
  <si>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</si>
  <si>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</si>
  <si>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</si>
  <si>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</si>
  <si>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</si>
  <si>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</si>
  <si>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</si>
  <si>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</si>
  <si>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</si>
  <si>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</si>
  <si>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</si>
  <si>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</si>
  <si>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</si>
  <si>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</si>
  <si>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</si>
  <si>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</si>
  <si>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</si>
  <si>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</si>
  <si>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</si>
  <si>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</si>
  <si>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</si>
  <si>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</si>
  <si>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</si>
  <si>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</si>
  <si>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</si>
  <si>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</si>
  <si>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</si>
  <si>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</si>
  <si>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</si>
  <si>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</si>
  <si>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</si>
  <si>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</si>
  <si>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</si>
  <si>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</si>
  <si>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</si>
  <si>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</si>
  <si>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</si>
  <si>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</si>
  <si>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</si>
  <si>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</si>
  <si>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</si>
  <si>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</si>
  <si>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</si>
  <si>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</si>
  <si>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</si>
  <si>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</si>
  <si>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</si>
  <si>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</si>
  <si>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</si>
  <si>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</si>
  <si>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</si>
  <si>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</si>
  <si>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</si>
  <si>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</si>
  <si>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</si>
  <si>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</si>
  <si>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</si>
  <si>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</si>
  <si>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</si>
  <si>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</si>
  <si>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</si>
  <si>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</si>
  <si>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</si>
  <si>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</si>
  <si>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</si>
  <si>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</si>
  <si>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</si>
  <si>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</si>
  <si>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</si>
  <si>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</si>
  <si>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</si>
  <si>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</si>
  <si>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</si>
  <si>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</si>
  <si>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</si>
  <si>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</si>
  <si>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</si>
  <si>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</si>
  <si>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</si>
  <si>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</si>
  <si>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</si>
  <si>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</si>
  <si>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</si>
  <si>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</si>
  <si>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</si>
  <si>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</si>
  <si>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</si>
  <si>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</si>
  <si>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</si>
  <si>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</si>
  <si>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</si>
  <si>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</si>
  <si>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</si>
  <si>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</si>
  <si>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</si>
  <si>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</si>
  <si>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</si>
  <si>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</si>
  <si>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</si>
  <si>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</si>
  <si>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</si>
  <si>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</si>
  <si>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</si>
  <si>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</si>
  <si>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</si>
  <si>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</si>
  <si>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</si>
  <si>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</si>
  <si>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</si>
  <si>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</si>
  <si>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</si>
  <si>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</si>
  <si>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</si>
  <si>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</si>
  <si>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</si>
  <si>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</si>
  <si>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</si>
  <si>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</si>
  <si>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</si>
  <si>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</si>
  <si>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</si>
  <si>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</si>
  <si>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</si>
  <si>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</si>
  <si>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</si>
  <si>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</si>
  <si>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</si>
  <si>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</si>
  <si>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</si>
  <si>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</si>
  <si>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</si>
  <si>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</si>
  <si>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</si>
  <si>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</si>
  <si>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</si>
  <si>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</si>
  <si>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</si>
  <si>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</si>
  <si>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</si>
  <si>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</si>
  <si>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</si>
  <si>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</si>
  <si>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</si>
  <si>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</si>
  <si>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</si>
  <si>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</si>
  <si>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</si>
  <si>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</si>
  <si>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</si>
  <si>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</si>
  <si>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</si>
  <si>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</si>
  <si>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</si>
  <si>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</si>
  <si>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</si>
  <si>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</si>
  <si>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</si>
  <si>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</si>
  <si>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</si>
  <si>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</si>
  <si>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</si>
  <si>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</si>
  <si>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</si>
  <si>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</si>
  <si>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</si>
  <si>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</si>
  <si>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</si>
  <si>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</si>
  <si>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</si>
  <si>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</si>
  <si>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</si>
  <si>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</si>
  <si>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</si>
  <si>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</si>
  <si>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</si>
  <si>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</si>
  <si>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</si>
  <si>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</si>
  <si>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</si>
  <si>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</si>
  <si>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</si>
  <si>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</si>
  <si>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</si>
  <si>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</si>
  <si>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</si>
  <si>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</si>
  <si>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</si>
  <si>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</si>
  <si>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</si>
  <si>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</si>
  <si>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</si>
  <si>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</si>
  <si>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</si>
  <si>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</si>
  <si>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</si>
  <si>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</si>
  <si>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</si>
  <si>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</si>
  <si>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</si>
  <si>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</si>
  <si>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</si>
  <si>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</si>
  <si>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</si>
  <si>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</si>
  <si>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</si>
  <si>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</si>
  <si>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</si>
  <si>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</si>
  <si>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</si>
  <si>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</si>
  <si>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</si>
  <si>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</si>
  <si>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</si>
  <si>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</si>
  <si>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</si>
  <si>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</si>
  <si>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</si>
  <si>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</si>
  <si>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</si>
  <si>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</si>
  <si>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</si>
  <si>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</si>
  <si>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</si>
  <si>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</si>
  <si>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</si>
  <si>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</si>
  <si>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</si>
  <si>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</si>
  <si>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</si>
  <si>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</si>
  <si>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</si>
  <si>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</si>
  <si>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</si>
  <si>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</si>
  <si>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</si>
  <si>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</si>
  <si>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</si>
  <si>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</si>
  <si>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</si>
  <si>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</si>
  <si>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</si>
  <si>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</si>
  <si>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</si>
  <si>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</si>
  <si>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</si>
  <si>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</si>
  <si>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</si>
  <si>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</si>
  <si>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</si>
  <si>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</si>
  <si>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</si>
  <si>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</si>
  <si>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</si>
  <si>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</si>
  <si>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</si>
  <si>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</si>
  <si>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</si>
  <si>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</si>
  <si>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</si>
  <si>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</si>
  <si>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</si>
  <si>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</si>
  <si>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</si>
  <si>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</si>
  <si>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</si>
  <si>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</si>
  <si>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</si>
  <si>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</si>
  <si>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</si>
  <si>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</si>
  <si>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</si>
  <si>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</si>
  <si>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</si>
  <si>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</si>
  <si>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</si>
  <si>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</si>
  <si>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</si>
  <si>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</si>
  <si>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</si>
  <si>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</si>
  <si>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</si>
  <si>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</si>
  <si>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</si>
  <si>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</si>
  <si>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</si>
  <si>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</si>
  <si>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</si>
  <si>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</si>
  <si>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</si>
  <si>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</si>
  <si>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</si>
  <si>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</si>
  <si>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</si>
  <si>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</si>
  <si>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</si>
  <si>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</si>
  <si>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</si>
  <si>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</si>
  <si>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</si>
  <si>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</si>
  <si>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</si>
  <si>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</si>
  <si>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</si>
  <si>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</si>
  <si>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</si>
  <si>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</si>
  <si>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</si>
  <si>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</si>
  <si>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</si>
  <si>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</si>
  <si>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</si>
  <si>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</si>
  <si>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</si>
  <si>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</si>
  <si>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</si>
  <si>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</si>
  <si>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</si>
  <si>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</si>
  <si>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</si>
  <si>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</si>
  <si>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</si>
  <si>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</si>
  <si>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</si>
  <si>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</si>
  <si>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</si>
  <si>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</si>
  <si>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</si>
  <si>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</si>
  <si>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</si>
  <si>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</si>
  <si>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</si>
  <si>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</si>
  <si>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</si>
  <si>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</si>
  <si>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</si>
  <si>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</si>
  <si>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</si>
  <si>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</si>
  <si>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</si>
  <si>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</si>
  <si>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</si>
  <si>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</si>
  <si>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</si>
  <si>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</si>
  <si>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</si>
  <si>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</si>
  <si>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</si>
  <si>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</si>
  <si>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</si>
  <si>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</si>
  <si>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</si>
  <si>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</si>
  <si>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</si>
  <si>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</si>
  <si>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</si>
  <si>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</si>
  <si>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</si>
  <si>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</si>
  <si>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</si>
  <si>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</si>
  <si>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</si>
  <si>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</si>
  <si>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</si>
  <si>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</si>
  <si>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</si>
  <si>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</si>
  <si>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</si>
  <si>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</si>
  <si>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</si>
  <si>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</si>
  <si>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</si>
  <si>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</si>
  <si>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</si>
  <si>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</si>
  <si>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</si>
  <si>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</si>
  <si>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</si>
  <si>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</si>
  <si>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</si>
  <si>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</si>
  <si>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</si>
  <si>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</si>
  <si>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</si>
  <si>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</si>
  <si>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</si>
  <si>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</si>
  <si>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</si>
  <si>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</si>
  <si>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</si>
  <si>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</si>
  <si>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</si>
  <si>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</si>
  <si>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</si>
  <si>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</si>
  <si>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</si>
  <si>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</si>
  <si>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</si>
  <si>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</si>
  <si>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</si>
  <si>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</si>
  <si>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</si>
  <si>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</si>
  <si>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</si>
  <si>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</si>
  <si>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</si>
  <si>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</si>
  <si>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</si>
  <si>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</si>
  <si>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</si>
  <si>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</si>
  <si>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</si>
  <si>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</si>
  <si>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</si>
  <si>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</si>
  <si>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</si>
  <si>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</si>
  <si>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</si>
  <si>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</si>
  <si>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</si>
  <si>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</si>
  <si>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</si>
  <si>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</si>
  <si>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</si>
  <si>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</si>
  <si>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</si>
  <si>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</si>
  <si>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</si>
  <si>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</si>
  <si>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</si>
  <si>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</si>
  <si>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</si>
  <si>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</si>
  <si>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</si>
  <si>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</si>
  <si>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</si>
  <si>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</si>
  <si>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</si>
  <si>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</si>
  <si>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</si>
  <si>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</si>
  <si>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</si>
  <si>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</si>
  <si>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</si>
  <si>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</si>
  <si>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</si>
  <si>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</si>
  <si>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</si>
  <si>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</si>
  <si>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</si>
  <si>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</si>
  <si>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</si>
  <si>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</si>
  <si>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</si>
  <si>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</si>
  <si>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</si>
  <si>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</si>
  <si>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</si>
  <si>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</si>
  <si>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</si>
  <si>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</si>
  <si>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</si>
  <si>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</si>
  <si>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</si>
  <si>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</si>
  <si>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</si>
  <si>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</si>
  <si>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</si>
  <si>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</si>
  <si>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</si>
  <si>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</si>
  <si>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</si>
  <si>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</si>
  <si>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</si>
  <si>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</si>
  <si>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</si>
  <si>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</si>
  <si>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</si>
  <si>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</si>
  <si>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</si>
  <si>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</si>
  <si>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</si>
  <si>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</si>
  <si>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</si>
  <si>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</si>
  <si>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</si>
  <si>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</si>
  <si>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</si>
  <si>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</si>
  <si>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</si>
  <si>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</si>
  <si>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</si>
  <si>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</si>
  <si>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</si>
  <si>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</si>
  <si>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</si>
  <si>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</si>
  <si>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</si>
  <si>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</si>
  <si>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</si>
  <si>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</si>
  <si>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</si>
  <si>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</si>
  <si>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</si>
  <si>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</si>
  <si>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</si>
  <si>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</si>
  <si>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</si>
  <si>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</si>
  <si>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</si>
  <si>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</si>
  <si>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</si>
  <si>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</si>
  <si>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</si>
  <si>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</si>
  <si>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</si>
  <si>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</si>
  <si>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</si>
  <si>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</si>
  <si>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</si>
  <si>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</si>
  <si>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</si>
  <si>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</si>
  <si>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</si>
  <si>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</si>
  <si>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</si>
  <si>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</si>
  <si>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</si>
  <si>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</si>
  <si>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</si>
  <si>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</si>
  <si>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</si>
  <si>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</si>
  <si>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</si>
  <si>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</si>
  <si>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</si>
  <si>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</si>
  <si>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</si>
  <si>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</si>
  <si>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</si>
  <si>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</si>
  <si>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</si>
  <si>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</si>
  <si>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</si>
  <si>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</si>
  <si>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</si>
  <si>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</si>
  <si>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</si>
  <si>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</si>
  <si>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</si>
  <si>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</si>
  <si>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</si>
  <si>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</si>
  <si>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</si>
  <si>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</si>
  <si>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</si>
  <si>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</si>
  <si>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</si>
  <si>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</si>
  <si>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</si>
  <si>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</si>
  <si>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</si>
  <si>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</si>
  <si>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</si>
  <si>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</si>
  <si>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</si>
  <si>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</si>
  <si>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</si>
  <si>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</si>
  <si>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</si>
  <si>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</si>
  <si>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</si>
  <si>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</si>
  <si>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</si>
  <si>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</si>
  <si>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</si>
  <si>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</si>
  <si>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</si>
  <si>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</si>
  <si>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</si>
  <si>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</si>
  <si>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</si>
  <si>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</si>
  <si>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</si>
  <si>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</si>
  <si>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</si>
  <si>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</si>
  <si>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</si>
  <si>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</si>
  <si>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</si>
  <si>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</si>
  <si>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</si>
  <si>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</si>
  <si>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</si>
  <si>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</si>
  <si>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</si>
  <si>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</si>
  <si>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</si>
  <si>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</si>
  <si>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</si>
  <si>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</si>
  <si>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</si>
  <si>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</si>
  <si>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</si>
  <si>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</si>
  <si>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</si>
  <si>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</si>
  <si>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</si>
  <si>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</si>
  <si>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</si>
  <si>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</si>
  <si>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</si>
  <si>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</si>
  <si>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</si>
  <si>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</si>
  <si>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</si>
  <si>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</si>
  <si>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</si>
  <si>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</si>
  <si>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</si>
  <si>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</si>
  <si>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</si>
  <si>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</si>
  <si>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</si>
  <si>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</si>
  <si>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</si>
  <si>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</si>
  <si>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</si>
  <si>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</si>
  <si>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</si>
  <si>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</si>
  <si>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</si>
  <si>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</si>
  <si>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</si>
  <si>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</si>
  <si>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</si>
  <si>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</si>
  <si>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</si>
  <si>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</si>
  <si>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</si>
  <si>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</si>
  <si>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</si>
  <si>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</si>
  <si>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</si>
  <si>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</si>
  <si>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</si>
  <si>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</si>
  <si>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</si>
  <si>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</si>
  <si>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</si>
  <si>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</si>
  <si>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</si>
  <si>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</si>
  <si>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</si>
  <si>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</si>
  <si>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</si>
  <si>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</si>
  <si>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</si>
  <si>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</si>
  <si>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</si>
  <si>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</si>
  <si>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</si>
  <si>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</si>
  <si>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</si>
  <si>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</si>
  <si>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</si>
  <si>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</si>
  <si>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</si>
  <si>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</si>
  <si>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</si>
  <si>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</si>
  <si>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</si>
  <si>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</si>
  <si>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</si>
  <si>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</si>
  <si>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</si>
  <si>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</si>
  <si>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</si>
  <si>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</si>
  <si>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</si>
  <si>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</si>
  <si>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</si>
  <si>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</si>
  <si>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</si>
  <si>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</si>
  <si>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</si>
  <si>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</si>
  <si>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</si>
  <si>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</si>
  <si>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</si>
  <si>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</si>
  <si>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</si>
  <si>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</si>
  <si>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</si>
  <si>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</si>
  <si>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</si>
  <si>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</si>
  <si>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</si>
  <si>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</si>
  <si>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</si>
  <si>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</si>
  <si>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</si>
  <si>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</si>
  <si>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</si>
  <si>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</si>
  <si>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</si>
  <si>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</si>
  <si>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</si>
  <si>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</si>
  <si>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</si>
  <si>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</si>
  <si>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</si>
  <si>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</si>
  <si>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</si>
  <si>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</si>
  <si>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</si>
  <si>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</si>
  <si>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</si>
  <si>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</si>
  <si>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</si>
  <si>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</si>
  <si>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</si>
  <si>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</si>
  <si>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</si>
  <si>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</si>
  <si>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</si>
  <si>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</si>
  <si>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</si>
  <si>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</si>
  <si>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</si>
  <si>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</si>
  <si>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</si>
  <si>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</si>
  <si>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</si>
  <si>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</si>
  <si>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</si>
  <si>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</si>
  <si>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</si>
  <si>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</si>
  <si>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</si>
  <si>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</si>
  <si>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</si>
  <si>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</si>
  <si>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</si>
  <si>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</si>
  <si>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</si>
  <si>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</si>
  <si>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</si>
  <si>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</si>
  <si>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</si>
  <si>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</si>
  <si>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</si>
  <si>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</si>
  <si>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</si>
  <si>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</si>
  <si>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</si>
  <si>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</si>
  <si>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</si>
  <si>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</si>
  <si>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</si>
  <si>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</si>
  <si>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</si>
  <si>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</si>
  <si>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</si>
  <si>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</si>
  <si>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</si>
  <si>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</si>
  <si>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</si>
  <si>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</si>
  <si>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</si>
  <si>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</si>
  <si>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</si>
  <si>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</si>
  <si>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</si>
  <si>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</si>
  <si>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</si>
  <si>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</si>
  <si>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</si>
  <si>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</si>
  <si>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</si>
  <si>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</si>
  <si>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</si>
  <si>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</si>
  <si>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</si>
  <si>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</si>
  <si>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</si>
  <si>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</si>
  <si>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</si>
  <si>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</si>
  <si>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</si>
  <si>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</si>
  <si>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</si>
  <si>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</si>
  <si>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</si>
  <si>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</si>
  <si>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</si>
  <si>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</si>
  <si>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</si>
  <si>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</si>
  <si>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</si>
  <si>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</si>
  <si>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</si>
  <si>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</si>
  <si>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</si>
  <si>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</si>
  <si>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</si>
  <si>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</si>
  <si>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</si>
  <si>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</si>
  <si>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</si>
  <si>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</si>
  <si>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</si>
  <si>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</si>
  <si>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</si>
  <si>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</si>
  <si>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</si>
  <si>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</si>
  <si>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</si>
  <si>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</si>
  <si>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</si>
  <si>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</si>
  <si>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</si>
  <si>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</si>
  <si>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</si>
  <si>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</si>
  <si>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</si>
  <si>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</si>
  <si>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</si>
  <si>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</si>
  <si>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</si>
  <si>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</si>
  <si>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</si>
  <si>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</si>
  <si>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</si>
  <si>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</si>
  <si>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</si>
  <si>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</si>
  <si>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</si>
  <si>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</si>
  <si>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</si>
  <si>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</si>
  <si>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</si>
  <si>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</si>
  <si>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</si>
  <si>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</si>
  <si>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</si>
  <si>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</si>
  <si>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</si>
  <si>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</si>
  <si>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</si>
  <si>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</si>
  <si>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</si>
  <si>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</si>
  <si>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</si>
  <si>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</si>
  <si>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</si>
  <si>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</si>
  <si>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</si>
  <si>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</si>
  <si>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</si>
  <si>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</si>
  <si>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</si>
  <si>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</si>
  <si>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</si>
  <si>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</si>
  <si>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</si>
  <si>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</si>
  <si>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</si>
  <si>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</si>
  <si>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</si>
  <si>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</si>
  <si>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</si>
  <si>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</si>
  <si>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</si>
  <si>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</si>
  <si>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</si>
  <si>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</si>
  <si>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</si>
  <si>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</si>
  <si>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</si>
  <si>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</si>
  <si>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</si>
  <si>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</si>
  <si>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</si>
  <si>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</si>
  <si>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</si>
  <si>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</si>
  <si>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</si>
  <si>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</si>
  <si>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</si>
  <si>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</si>
  <si>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</si>
  <si>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</si>
  <si>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</si>
  <si>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</si>
  <si>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</si>
  <si>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</si>
  <si>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</si>
  <si>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</si>
  <si>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</si>
  <si>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</si>
  <si>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</si>
  <si>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</si>
  <si>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</si>
  <si>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</si>
  <si>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</si>
  <si>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</si>
  <si>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</si>
  <si>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</si>
  <si>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</si>
  <si>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</si>
  <si>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</si>
  <si>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</si>
  <si>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</si>
  <si>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</si>
  <si>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</si>
  <si>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</si>
  <si>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</si>
  <si>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</si>
  <si>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</si>
  <si>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</si>
  <si>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</si>
  <si>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</si>
  <si>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</si>
  <si>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</si>
  <si>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</si>
  <si>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</si>
  <si>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</si>
  <si>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</si>
  <si>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</si>
  <si>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</si>
  <si>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</si>
  <si>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</si>
  <si>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</si>
  <si>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</si>
  <si>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</si>
  <si>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</si>
  <si>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</si>
  <si>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</si>
  <si>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</si>
  <si>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</si>
  <si>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</si>
  <si>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</si>
  <si>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</si>
  <si>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</si>
  <si>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</si>
  <si>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</si>
  <si>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</si>
  <si>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</si>
  <si>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</si>
  <si>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</si>
  <si>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</si>
  <si>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</si>
  <si>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</si>
  <si>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</si>
  <si>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</si>
  <si>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</si>
  <si>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</si>
  <si>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</si>
  <si>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</si>
  <si>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</si>
  <si>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</si>
  <si>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</si>
  <si>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</si>
  <si>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</si>
  <si>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</si>
  <si>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</si>
  <si>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</si>
  <si>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</si>
  <si>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</si>
  <si>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</si>
  <si>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</si>
  <si>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</si>
  <si>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</si>
  <si>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</si>
  <si>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</si>
  <si>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</si>
  <si>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</si>
  <si>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</si>
  <si>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</si>
  <si>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</si>
  <si>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</si>
  <si>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</si>
  <si>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</si>
  <si>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</si>
  <si>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</si>
  <si>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</si>
  <si>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</si>
  <si>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</si>
  <si>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</si>
  <si>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</si>
  <si>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</si>
  <si>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</si>
  <si>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</si>
  <si>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</si>
  <si>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</si>
  <si>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</si>
  <si>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</si>
  <si>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</si>
  <si>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</si>
  <si>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</si>
  <si>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</si>
  <si>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</si>
  <si>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</si>
  <si>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</si>
  <si>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</si>
  <si>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</si>
  <si>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</si>
  <si>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</si>
  <si>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</si>
  <si>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</si>
  <si>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</si>
  <si>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</si>
  <si>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</si>
  <si>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</si>
  <si>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</si>
  <si>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</si>
  <si>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</si>
  <si>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</si>
  <si>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</si>
  <si>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</si>
  <si>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</si>
  <si>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</si>
  <si>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</si>
  <si>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</si>
  <si>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</si>
  <si>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</si>
  <si>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</si>
  <si>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</si>
  <si>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</si>
  <si>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</si>
  <si>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</si>
  <si>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</si>
  <si>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</si>
  <si>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</si>
  <si>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</si>
  <si>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</si>
  <si>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</si>
  <si>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</si>
  <si>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</si>
  <si>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</si>
  <si>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</si>
  <si>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</si>
  <si>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</si>
  <si>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</si>
  <si>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</si>
  <si>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</si>
  <si>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</si>
  <si>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</si>
  <si>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</si>
  <si>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</si>
  <si>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</si>
  <si>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</si>
  <si>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</si>
  <si>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</si>
  <si>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</si>
  <si>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</si>
  <si>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</si>
  <si>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</si>
  <si>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</si>
  <si>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</si>
  <si>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</si>
  <si>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</si>
  <si>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</si>
  <si>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</si>
  <si>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</si>
  <si>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</si>
  <si>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</si>
  <si>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</si>
  <si>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</si>
  <si>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</si>
  <si>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</si>
  <si>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</si>
  <si>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</si>
  <si>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</si>
  <si>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</si>
  <si>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</si>
  <si>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</si>
  <si>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</si>
  <si>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</si>
  <si>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</si>
  <si>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</si>
  <si>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</si>
  <si>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</si>
  <si>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</si>
  <si>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</si>
  <si>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</si>
  <si>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</si>
  <si>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</si>
  <si>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</si>
  <si>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</si>
  <si>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</si>
  <si>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</si>
  <si>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</si>
  <si>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</si>
  <si>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</si>
  <si>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</si>
  <si>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</si>
  <si>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</si>
  <si>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</si>
  <si>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</si>
  <si>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</si>
  <si>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</si>
  <si>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</si>
  <si>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</si>
  <si>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</si>
  <si>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</si>
  <si>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</si>
  <si>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</si>
  <si>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</si>
  <si>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</si>
  <si>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</si>
  <si>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</si>
  <si>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</si>
  <si>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</si>
  <si>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</si>
  <si>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</si>
  <si>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</si>
  <si>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</si>
  <si>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</si>
  <si>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</si>
  <si>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</si>
  <si>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</si>
  <si>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</si>
  <si>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</si>
  <si>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</si>
  <si>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</si>
  <si>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</si>
  <si>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</si>
  <si>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</si>
  <si>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</si>
  <si>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</si>
  <si>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</si>
  <si>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</si>
  <si>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</si>
  <si>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</si>
  <si>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</si>
  <si>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</si>
  <si>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</si>
  <si>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</si>
  <si>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</si>
  <si>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</si>
  <si>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</si>
  <si>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</si>
  <si>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</si>
  <si>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</si>
  <si>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</si>
  <si>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</si>
  <si>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</si>
  <si>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</si>
  <si>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</si>
  <si>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</si>
  <si>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</si>
  <si>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</si>
  <si>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</si>
  <si>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</si>
  <si>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</si>
  <si>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</si>
  <si>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</si>
  <si>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</si>
  <si>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</si>
  <si>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</si>
  <si>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</si>
  <si>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</si>
  <si>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</si>
  <si>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</si>
  <si>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</si>
  <si>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</si>
  <si>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</si>
  <si>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</si>
  <si>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</si>
  <si>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</si>
  <si>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</si>
  <si>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</si>
  <si>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</si>
  <si>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</si>
  <si>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</si>
  <si>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</si>
  <si>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</si>
  <si>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</si>
  <si>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</si>
  <si>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</si>
  <si>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</si>
  <si>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</si>
  <si>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</si>
  <si>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</si>
  <si>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</si>
  <si>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</si>
  <si>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</si>
  <si>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</si>
  <si>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</si>
  <si>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</si>
  <si>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</si>
  <si>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</si>
  <si>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</si>
  <si>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</si>
  <si>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</si>
  <si>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</si>
  <si>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</si>
  <si>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</si>
  <si>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</si>
  <si>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</si>
  <si>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</si>
  <si>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</si>
  <si>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</si>
  <si>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</si>
  <si>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</si>
  <si>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</si>
  <si>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</si>
  <si>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</si>
  <si>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</si>
  <si>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</si>
  <si>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</si>
  <si>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</si>
  <si>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</si>
  <si>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</si>
  <si>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</si>
  <si>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</si>
  <si>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</si>
  <si>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</si>
  <si>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</si>
  <si>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</si>
  <si>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</si>
  <si>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</si>
  <si>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</si>
  <si>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</si>
  <si>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</si>
  <si>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</si>
  <si>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</si>
  <si>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</si>
  <si>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</si>
  <si>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</si>
  <si>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</si>
  <si>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</si>
  <si>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</si>
  <si>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</si>
  <si>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</si>
  <si>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</si>
  <si>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</si>
  <si>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</si>
  <si>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</si>
  <si>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</si>
  <si>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</si>
  <si>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</si>
  <si>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</si>
  <si>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</si>
  <si>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</si>
  <si>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</si>
  <si>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</si>
  <si>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</si>
  <si>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</si>
  <si>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</si>
  <si>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</si>
  <si>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</si>
  <si>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</si>
  <si>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</si>
  <si>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</si>
  <si>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</si>
  <si>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</si>
  <si>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</si>
  <si>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</si>
  <si>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</si>
  <si>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</si>
  <si>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</si>
  <si>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</si>
  <si>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</si>
  <si>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</si>
  <si>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</si>
  <si>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</si>
  <si>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</si>
  <si>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</si>
  <si>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</si>
  <si>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</si>
  <si>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</si>
  <si>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</si>
  <si>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</si>
  <si>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</si>
  <si>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</si>
  <si>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</si>
  <si>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</si>
  <si>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</si>
  <si>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</si>
  <si>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</si>
  <si>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</si>
  <si>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</si>
  <si>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</si>
  <si>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</si>
  <si>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</si>
  <si>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</si>
  <si>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</si>
  <si>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</si>
  <si>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</si>
  <si>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</si>
  <si>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</si>
  <si>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</si>
  <si>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</si>
  <si>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</si>
  <si>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</si>
  <si>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</si>
  <si>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</si>
  <si>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</si>
  <si>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</si>
  <si>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</si>
  <si>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</si>
  <si>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</si>
  <si>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</si>
  <si>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</si>
  <si>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</si>
  <si>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</si>
  <si>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</si>
  <si>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</si>
  <si>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</si>
  <si>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</si>
  <si>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</si>
  <si>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</si>
  <si>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</si>
  <si>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</si>
  <si>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</si>
  <si>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</si>
  <si>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</si>
  <si>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</si>
  <si>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</si>
  <si>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</si>
  <si>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</si>
  <si>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</si>
  <si>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</si>
  <si>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</si>
  <si>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</si>
  <si>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</si>
  <si>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</si>
  <si>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</si>
  <si>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</si>
  <si>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</si>
  <si>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</si>
  <si>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</si>
  <si>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</si>
  <si>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</si>
  <si>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</si>
  <si>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</si>
  <si>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</si>
  <si>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</si>
  <si>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</si>
  <si>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</si>
  <si>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</si>
  <si>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</si>
  <si>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</si>
  <si>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</si>
  <si>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</si>
  <si>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</si>
  <si>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</si>
  <si>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</si>
  <si>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</si>
  <si>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</si>
  <si>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</si>
  <si>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</si>
  <si>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</si>
  <si>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</si>
  <si>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</si>
  <si>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</si>
  <si>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</si>
  <si>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</si>
  <si>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</si>
  <si>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</si>
  <si>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</si>
  <si>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</si>
  <si>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</si>
  <si>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</si>
  <si>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</si>
  <si>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</si>
  <si>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</si>
  <si>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</si>
  <si>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</si>
  <si>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</si>
  <si>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</si>
  <si>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</si>
  <si>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</si>
  <si>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</si>
  <si>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</si>
  <si>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</si>
  <si>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</si>
  <si>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</si>
  <si>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</si>
  <si>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</si>
  <si>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</si>
  <si>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</si>
  <si>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</si>
  <si>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</si>
  <si>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</si>
  <si>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</si>
  <si>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</si>
  <si>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</si>
  <si>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</si>
  <si>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</si>
  <si>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</si>
  <si>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</si>
  <si>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</si>
  <si>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</si>
  <si>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</si>
  <si>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</si>
  <si>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</si>
  <si>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</si>
  <si>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</si>
  <si>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</si>
  <si>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</si>
  <si>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</si>
  <si>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</si>
  <si>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</si>
  <si>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</si>
  <si>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</si>
  <si>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</si>
  <si>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</si>
  <si>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</si>
  <si>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</si>
  <si>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</si>
  <si>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</si>
  <si>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</si>
  <si>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</si>
  <si>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</si>
  <si>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</si>
  <si>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</si>
  <si>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</si>
  <si>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</si>
  <si>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</si>
  <si>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</si>
  <si>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</si>
  <si>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</si>
  <si>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</si>
  <si>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</si>
  <si>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</si>
  <si>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</si>
  <si>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</si>
  <si>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</si>
  <si>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</si>
  <si>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</si>
  <si>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</si>
  <si>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</si>
  <si>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</si>
  <si>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</si>
  <si>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</si>
  <si>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</si>
  <si>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</si>
  <si>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</si>
  <si>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</si>
  <si>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</si>
  <si>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</si>
  <si>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</si>
  <si>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</si>
  <si>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</si>
  <si>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</si>
  <si>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</si>
  <si>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</si>
  <si>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</si>
  <si>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</si>
  <si>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</si>
  <si>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</si>
  <si>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</si>
  <si>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</si>
  <si>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</si>
  <si>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</si>
  <si>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</si>
  <si>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</si>
  <si>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</si>
  <si>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</si>
  <si>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</si>
  <si>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</si>
  <si>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</si>
  <si>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</si>
  <si>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</si>
  <si>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</si>
  <si>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</si>
  <si>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</si>
  <si>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</si>
  <si>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</si>
  <si>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</si>
  <si>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</si>
  <si>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</si>
  <si>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</si>
  <si>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</si>
  <si>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</si>
  <si>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</si>
  <si>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</si>
  <si>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</si>
  <si>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</si>
  <si>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</si>
  <si>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</si>
  <si>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</si>
  <si>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</si>
  <si>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</si>
  <si>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</si>
  <si>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</si>
  <si>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</si>
  <si>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</si>
  <si>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</si>
  <si>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</si>
  <si>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</si>
  <si>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</si>
  <si>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</si>
  <si>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</si>
  <si>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</si>
  <si>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</si>
  <si>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</si>
  <si>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</si>
  <si>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</si>
  <si>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</si>
  <si>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</si>
  <si>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</si>
  <si>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</si>
  <si>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</si>
  <si>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</si>
  <si>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</si>
  <si>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</si>
  <si>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</si>
  <si>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</si>
  <si>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</si>
  <si>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</si>
  <si>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</si>
  <si>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</si>
  <si>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</si>
  <si>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</si>
  <si>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</si>
  <si>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</si>
  <si>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</si>
  <si>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</si>
  <si>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</si>
  <si>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</si>
  <si>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</si>
  <si>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</si>
  <si>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</si>
  <si>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</si>
  <si>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</si>
  <si>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</si>
  <si>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</si>
  <si>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</si>
  <si>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</si>
  <si>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</si>
  <si>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</si>
  <si>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</si>
  <si>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</si>
  <si>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</si>
  <si>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</si>
  <si>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</si>
  <si>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</si>
  <si>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</si>
  <si>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</si>
  <si>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</si>
  <si>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</si>
  <si>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</si>
  <si>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</si>
  <si>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</si>
  <si>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</si>
  <si>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</si>
  <si>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</si>
  <si>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</si>
  <si>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</si>
  <si>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</si>
  <si>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</si>
  <si>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</si>
  <si>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</si>
  <si>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</si>
  <si>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</si>
  <si>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</si>
  <si>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</si>
  <si>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</si>
  <si>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</si>
  <si>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</si>
  <si>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</si>
  <si>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</si>
  <si>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</si>
  <si>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</si>
  <si>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</si>
  <si>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</si>
  <si>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</si>
  <si>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</si>
  <si>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</si>
  <si>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</si>
  <si>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</si>
  <si>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</si>
  <si>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</si>
  <si>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</si>
  <si>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</si>
  <si>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</si>
  <si>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</si>
  <si>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</si>
  <si>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</si>
  <si>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</si>
  <si>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</si>
  <si>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</si>
  <si>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</si>
  <si>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</si>
  <si>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</si>
  <si>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</si>
  <si>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</si>
  <si>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</si>
  <si>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</si>
  <si>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</si>
  <si>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</si>
  <si>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</si>
  <si>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</si>
  <si>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</si>
  <si>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</si>
  <si>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</si>
  <si>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</si>
  <si>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</si>
  <si>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</si>
  <si>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</si>
  <si>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</si>
  <si>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</si>
  <si>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</si>
  <si>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</si>
  <si>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</si>
  <si>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</si>
  <si>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</si>
  <si>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</si>
  <si>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</si>
  <si>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</si>
  <si>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</si>
  <si>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</si>
  <si>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</si>
  <si>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</si>
  <si>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</si>
  <si>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</si>
  <si>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</si>
  <si>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</si>
  <si>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</si>
  <si>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</si>
  <si>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</si>
  <si>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</si>
  <si>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</si>
  <si>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</si>
  <si>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</si>
  <si>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</si>
  <si>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</si>
  <si>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</si>
  <si>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</si>
  <si>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</si>
  <si>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</si>
  <si>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</si>
  <si>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</si>
  <si>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</si>
  <si>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</si>
  <si>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</si>
  <si>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</si>
  <si>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</si>
  <si>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</si>
  <si>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</si>
  <si>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</si>
  <si>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</si>
  <si>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</si>
  <si>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</si>
  <si>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</si>
  <si>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</si>
  <si>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</si>
  <si>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</si>
  <si>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</si>
  <si>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</si>
  <si>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</si>
  <si>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</si>
  <si>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</si>
  <si>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</si>
  <si>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</si>
  <si>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</si>
  <si>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</si>
  <si>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</si>
  <si>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</si>
  <si>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</si>
  <si>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</si>
  <si>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</si>
  <si>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</si>
  <si>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</si>
  <si>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</si>
  <si>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</si>
  <si>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</si>
  <si>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</si>
  <si>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</si>
  <si>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</si>
  <si>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</si>
  <si>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</si>
  <si>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</si>
  <si>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</si>
  <si>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</si>
  <si>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</si>
  <si>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</si>
  <si>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</si>
  <si>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</si>
  <si>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</si>
  <si>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Pike Job#179998</t>
  </si>
  <si>
    <t>D. J. Rossetti, Inc.</t>
  </si>
  <si>
    <t>322 Charlton Rd.</t>
  </si>
  <si>
    <t>Ballston Spa</t>
  </si>
  <si>
    <t>14-1642873</t>
  </si>
  <si>
    <t>Katina Noonan</t>
  </si>
  <si>
    <t>Payroll Administrator</t>
  </si>
  <si>
    <t>Cement Masons and Concrete Finishers</t>
  </si>
  <si>
    <t>Construction Laborers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</si>
</sst>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General;;"/>
    <numFmt numFmtId="165" formatCode="&quot;$&quot;#,##0"/>
    <numFmt numFmtId="166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166" fontId="3" fillId="13" borderId="4" xfId="0" applyNumberFormat="1" applyFon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542925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171450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topLeftCell="A10" zoomScaleNormal="100" zoomScalePageLayoutView="96" workbookViewId="0">
      <selection activeCell="G26" sqref="G26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9.570312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50" t="s">
        <v>322</v>
      </c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49" t="s">
        <v>321</v>
      </c>
      <c r="J5" s="149"/>
      <c r="K5" s="149"/>
      <c r="L5" s="149"/>
      <c r="M5" s="149"/>
      <c r="N5" s="149"/>
      <c r="O5" s="149"/>
      <c r="P5" s="149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64"/>
      <c r="F6" s="162"/>
      <c r="G6" s="131"/>
      <c r="H6" s="40"/>
      <c r="I6" s="162"/>
      <c r="J6" s="162"/>
      <c r="K6" s="162"/>
      <c r="L6" s="162"/>
      <c r="M6" s="162"/>
      <c r="N6" s="162"/>
      <c r="O6" s="162"/>
      <c r="P6" s="162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60"/>
      <c r="N7" s="160"/>
      <c r="O7" s="160"/>
      <c r="P7" s="160"/>
      <c r="Q7" s="131"/>
      <c r="R7" s="71"/>
      <c r="S7" s="43" t="s">
        <v>6</v>
      </c>
      <c r="T7" s="115"/>
      <c r="U7" s="70"/>
      <c r="V7" s="2"/>
      <c r="W7" s="2"/>
      <c r="X7" s="151" t="s">
        <v>1841</v>
      </c>
      <c r="Y7" s="155"/>
      <c r="Z7" s="155"/>
      <c r="AA7" s="155"/>
      <c r="AB7" s="155"/>
      <c r="AC7" s="155"/>
      <c r="AD7" s="155"/>
      <c r="AE7" s="156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61" t="s">
        <v>1837</v>
      </c>
      <c r="E8" s="161"/>
      <c r="F8" s="161"/>
      <c r="G8" s="70"/>
      <c r="H8" s="41"/>
      <c r="I8" s="138"/>
      <c r="J8" s="163"/>
      <c r="K8" s="139"/>
      <c r="L8" s="138"/>
      <c r="M8" s="139"/>
      <c r="N8" s="130"/>
      <c r="O8" s="138"/>
      <c r="P8" s="139"/>
      <c r="Q8" s="131"/>
      <c r="R8" s="38"/>
      <c r="S8" s="43" t="s">
        <v>7</v>
      </c>
      <c r="T8" s="115"/>
      <c r="U8" s="53"/>
      <c r="V8" s="2"/>
      <c r="W8" s="2"/>
      <c r="X8" s="157" t="s">
        <v>1842</v>
      </c>
      <c r="Y8" s="158"/>
      <c r="Z8" s="158"/>
      <c r="AA8" s="158"/>
      <c r="AB8" s="158"/>
      <c r="AC8" s="158"/>
      <c r="AD8" s="158"/>
      <c r="AE8" s="159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61" t="s">
        <v>1838</v>
      </c>
      <c r="E9" s="161"/>
      <c r="F9" s="161"/>
      <c r="G9" s="70"/>
      <c r="H9" s="41"/>
      <c r="I9" s="138"/>
      <c r="J9" s="163"/>
      <c r="K9" s="139"/>
      <c r="L9" s="138"/>
      <c r="M9" s="139"/>
      <c r="N9" s="130"/>
      <c r="O9" s="138"/>
      <c r="P9" s="139"/>
      <c r="Q9" s="131"/>
      <c r="R9" s="38"/>
      <c r="S9" s="43" t="s">
        <v>8</v>
      </c>
      <c r="T9" s="115"/>
      <c r="U9" s="70"/>
      <c r="V9" s="2"/>
      <c r="W9" s="2"/>
      <c r="X9" s="136">
        <v>43284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1839</v>
      </c>
      <c r="E10" s="32" t="s">
        <v>451</v>
      </c>
      <c r="F10" s="32">
        <v>12020</v>
      </c>
      <c r="G10" s="70"/>
      <c r="H10" s="41"/>
      <c r="I10" s="165"/>
      <c r="J10" s="165"/>
      <c r="K10" s="165"/>
      <c r="L10" s="165"/>
      <c r="M10" s="165"/>
      <c r="N10" s="126"/>
      <c r="O10" s="165"/>
      <c r="P10" s="165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72" t="s">
        <v>1840</v>
      </c>
      <c r="E11" s="173"/>
      <c r="F11" s="174"/>
      <c r="G11" s="53"/>
      <c r="H11" s="41"/>
      <c r="I11" s="165"/>
      <c r="J11" s="165"/>
      <c r="K11" s="165"/>
      <c r="L11" s="165"/>
      <c r="M11" s="165"/>
      <c r="N11" s="126"/>
      <c r="O11" s="165"/>
      <c r="P11" s="165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51"/>
      <c r="E13" s="152"/>
      <c r="F13" s="153"/>
      <c r="G13" s="114"/>
      <c r="H13" s="41"/>
      <c r="I13" s="167" t="s">
        <v>5</v>
      </c>
      <c r="J13" s="167"/>
      <c r="K13" s="167"/>
      <c r="L13" s="167"/>
      <c r="M13" s="167"/>
      <c r="N13" s="167"/>
      <c r="O13" s="167"/>
      <c r="P13" s="167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61" t="s">
        <v>1835</v>
      </c>
      <c r="E14" s="161"/>
      <c r="F14" s="161"/>
      <c r="G14" s="70"/>
      <c r="H14" s="41"/>
      <c r="I14" s="165"/>
      <c r="J14" s="165"/>
      <c r="K14" s="165"/>
      <c r="L14" s="165"/>
      <c r="M14" s="165"/>
      <c r="N14" s="165"/>
      <c r="O14" s="165"/>
      <c r="P14" s="165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 t="s">
        <v>1836</v>
      </c>
      <c r="E15" s="41"/>
      <c r="F15" s="41"/>
      <c r="G15" s="41"/>
      <c r="H15" s="41"/>
      <c r="I15" s="165"/>
      <c r="J15" s="165"/>
      <c r="K15" s="165"/>
      <c r="L15" s="165"/>
      <c r="M15" s="165"/>
      <c r="N15" s="165"/>
      <c r="O15" s="165"/>
      <c r="P15" s="165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68" t="s">
        <v>11</v>
      </c>
      <c r="D18" s="170" t="s">
        <v>9</v>
      </c>
      <c r="E18" s="168" t="s">
        <v>10</v>
      </c>
      <c r="F18" s="186" t="s">
        <v>1825</v>
      </c>
      <c r="G18" s="187"/>
      <c r="H18" s="187"/>
      <c r="I18" s="187"/>
      <c r="J18" s="187"/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  <c r="AB18" s="187"/>
      <c r="AC18" s="187"/>
      <c r="AD18" s="187"/>
      <c r="AE18" s="187"/>
      <c r="AF18" s="187"/>
      <c r="AG18" s="187"/>
      <c r="AH18" s="187"/>
      <c r="AI18" s="188"/>
      <c r="AJ18" s="2"/>
      <c r="AK18" s="2"/>
    </row>
    <row r="19" spans="1:37" ht="46.5" customHeight="1" thickBot="1" x14ac:dyDescent="0.3">
      <c r="A19" s="2"/>
      <c r="B19" s="2"/>
      <c r="C19" s="169"/>
      <c r="D19" s="171"/>
      <c r="E19" s="169"/>
      <c r="F19" s="144" t="s">
        <v>1</v>
      </c>
      <c r="G19" s="144"/>
      <c r="H19" s="144"/>
      <c r="I19" s="144"/>
      <c r="J19" s="144"/>
      <c r="K19" s="145"/>
      <c r="L19" s="143" t="s">
        <v>13</v>
      </c>
      <c r="M19" s="144"/>
      <c r="N19" s="144"/>
      <c r="O19" s="144"/>
      <c r="P19" s="144"/>
      <c r="Q19" s="145"/>
      <c r="R19" s="143" t="s">
        <v>12</v>
      </c>
      <c r="S19" s="144"/>
      <c r="T19" s="144"/>
      <c r="U19" s="144"/>
      <c r="V19" s="144"/>
      <c r="W19" s="145"/>
      <c r="X19" s="146" t="s">
        <v>1826</v>
      </c>
      <c r="Y19" s="147"/>
      <c r="Z19" s="147"/>
      <c r="AA19" s="147"/>
      <c r="AB19" s="147"/>
      <c r="AC19" s="148"/>
      <c r="AD19" s="181" t="s">
        <v>14</v>
      </c>
      <c r="AE19" s="182"/>
      <c r="AF19" s="182"/>
      <c r="AG19" s="182"/>
      <c r="AH19" s="182"/>
      <c r="AI19" s="183"/>
      <c r="AJ19" s="2"/>
      <c r="AK19" s="2"/>
    </row>
    <row r="20" spans="1:37" ht="15.75" thickBot="1" x14ac:dyDescent="0.3">
      <c r="A20" s="2"/>
      <c r="B20" s="2"/>
      <c r="C20" s="169"/>
      <c r="D20" s="171"/>
      <c r="E20" s="169"/>
      <c r="F20" s="141" t="s">
        <v>2</v>
      </c>
      <c r="G20" s="141"/>
      <c r="H20" s="142"/>
      <c r="I20" s="140" t="s">
        <v>3</v>
      </c>
      <c r="J20" s="141"/>
      <c r="K20" s="142"/>
      <c r="L20" s="140" t="s">
        <v>2</v>
      </c>
      <c r="M20" s="141"/>
      <c r="N20" s="142"/>
      <c r="O20" s="140" t="s">
        <v>3</v>
      </c>
      <c r="P20" s="141"/>
      <c r="Q20" s="142"/>
      <c r="R20" s="140" t="s">
        <v>2</v>
      </c>
      <c r="S20" s="141"/>
      <c r="T20" s="142"/>
      <c r="U20" s="140" t="s">
        <v>3</v>
      </c>
      <c r="V20" s="141"/>
      <c r="W20" s="142"/>
      <c r="X20" s="140" t="s">
        <v>2</v>
      </c>
      <c r="Y20" s="141"/>
      <c r="Z20" s="142"/>
      <c r="AA20" s="140" t="s">
        <v>3</v>
      </c>
      <c r="AB20" s="141"/>
      <c r="AC20" s="142"/>
      <c r="AD20" s="140" t="s">
        <v>2</v>
      </c>
      <c r="AE20" s="141"/>
      <c r="AF20" s="142"/>
      <c r="AG20" s="140" t="s">
        <v>3</v>
      </c>
      <c r="AH20" s="141"/>
      <c r="AI20" s="142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/>
      <c r="D22" s="91"/>
      <c r="E22" s="92"/>
      <c r="F22" s="96"/>
      <c r="G22" s="96"/>
      <c r="H22" s="94"/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 t="s">
        <v>319</v>
      </c>
      <c r="D25" s="33" t="s">
        <v>1843</v>
      </c>
      <c r="E25" s="92" t="str">
        <f>IF(ISERROR(VLOOKUP(D25,Sheet3!$A$2:$B$821,2,FALSE)),"",(VLOOKUP(D25,Sheet3!$A$2:$B$821,2,FALSE)))</f>
        <v>47-2051</v>
      </c>
      <c r="F25" s="96">
        <v>13</v>
      </c>
      <c r="G25" s="96">
        <v>683</v>
      </c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 t="s">
        <v>320</v>
      </c>
      <c r="D26" s="33" t="s">
        <v>1844</v>
      </c>
      <c r="E26" s="92" t="str">
        <f>IF(ISERROR(VLOOKUP(D26,Sheet3!$A$2:$B$821,2,FALSE)),"",(VLOOKUP(D26,Sheet3!$A$2:$B$821,2,FALSE)))</f>
        <v>47-2061</v>
      </c>
      <c r="F26" s="96">
        <v>12</v>
      </c>
      <c r="G26" s="137">
        <v>347.5</v>
      </c>
      <c r="H26" s="94"/>
      <c r="I26" s="96"/>
      <c r="J26" s="96"/>
      <c r="K26" s="94"/>
      <c r="L26" s="97">
        <v>1</v>
      </c>
      <c r="M26" s="97">
        <v>45</v>
      </c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54"/>
      <c r="D38" s="154"/>
      <c r="E38" s="154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84"/>
      <c r="T38" s="184"/>
      <c r="U38" s="185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25</v>
      </c>
      <c r="G39" s="95">
        <f>SUM(G22:G37)</f>
        <v>1030.5</v>
      </c>
      <c r="H39" s="113">
        <f>SUM(H22:H37)</f>
        <v>0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1</v>
      </c>
      <c r="M39" s="95">
        <f t="shared" si="0"/>
        <v>45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6"/>
      <c r="D42" s="166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75" t="s">
        <v>1829</v>
      </c>
      <c r="D43" s="176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77"/>
      <c r="D44" s="178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77"/>
      <c r="D45" s="178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77"/>
      <c r="D46" s="178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79"/>
      <c r="D47" s="180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542925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171450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TechQuest</cp:lastModifiedBy>
  <cp:lastPrinted>2017-12-08T15:57:11Z</cp:lastPrinted>
  <dcterms:created xsi:type="dcterms:W3CDTF">2016-01-07T15:16:02Z</dcterms:created>
  <dcterms:modified xsi:type="dcterms:W3CDTF">2018-07-23T16:18:06Z</dcterms:modified>
</cp:coreProperties>
</file>