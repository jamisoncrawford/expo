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15750" windowHeight="1111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<sst xmlns="http://schemas.openxmlformats.org/spreadsheetml/2006/main" count="2106" uniqueCount="1845">
  <si>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</si>
  <si>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</si>
  <si>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</si>
  <si>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</si>
  <si>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</si>
  <si>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</si>
  <si>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</si>
  <si>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</si>
  <si>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</si>
  <si>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</si>
  <si>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</si>
  <si>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</si>
  <si>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</si>
  <si>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</si>
  <si>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</si>
  <si>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</si>
  <si>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</si>
  <si>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</si>
  <si>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</si>
  <si>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</si>
  <si>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</si>
  <si>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</si>
  <si>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</si>
  <si>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</si>
  <si>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</si>
  <si>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</si>
  <si>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</si>
  <si>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</si>
  <si>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</si>
  <si>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</si>
  <si>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</si>
  <si>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</si>
  <si>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</si>
  <si>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</si>
  <si>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</si>
  <si>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</si>
  <si>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</si>
  <si>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</si>
  <si>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</si>
  <si>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</si>
  <si>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</si>
  <si>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</si>
  <si>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</si>
  <si>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</si>
  <si>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</si>
  <si>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</si>
  <si>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</si>
  <si>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</si>
  <si>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</si>
  <si>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</si>
  <si>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</si>
  <si>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</si>
  <si>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</si>
  <si>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</si>
  <si>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</si>
  <si>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</si>
  <si>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</si>
  <si>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</si>
  <si>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</si>
  <si>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</si>
  <si>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</si>
  <si>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</si>
  <si>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</si>
  <si>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</si>
  <si>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</si>
  <si>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</si>
  <si>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</si>
  <si>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</si>
  <si>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</si>
  <si>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</si>
  <si>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</si>
  <si>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</si>
  <si>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</si>
  <si>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</si>
  <si>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</si>
  <si>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</si>
  <si>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</si>
  <si>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</si>
  <si>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</si>
  <si>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</si>
  <si>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</si>
  <si>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</si>
  <si>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</si>
  <si>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</si>
  <si>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</si>
  <si>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</si>
  <si>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</si>
  <si>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</si>
  <si>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</si>
  <si>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</si>
  <si>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</si>
  <si>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</si>
  <si>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</si>
  <si>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</si>
  <si>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</si>
  <si>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</si>
  <si>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</si>
  <si>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</si>
  <si>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</si>
  <si>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</si>
  <si>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</si>
  <si>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</si>
  <si>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</si>
  <si>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</si>
  <si>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</si>
  <si>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</si>
  <si>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</si>
  <si>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</si>
  <si>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</si>
  <si>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</si>
  <si>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</si>
  <si>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</si>
  <si>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</si>
  <si>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</si>
  <si>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</si>
  <si>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</si>
  <si>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</si>
  <si>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</si>
  <si>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</si>
  <si>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</si>
  <si>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</si>
  <si>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</si>
  <si>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</si>
  <si>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</si>
  <si>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</si>
  <si>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</si>
  <si>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</si>
  <si>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</si>
  <si>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</si>
  <si>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</si>
  <si>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</si>
  <si>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</si>
  <si>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</si>
  <si>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</si>
  <si>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</si>
  <si>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</si>
  <si>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</si>
  <si>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</si>
  <si>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</si>
  <si>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</si>
  <si>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</si>
  <si>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</si>
  <si>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</si>
  <si>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</si>
  <si>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</si>
  <si>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</si>
  <si>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</si>
  <si>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</si>
  <si>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</si>
  <si>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</si>
  <si>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</si>
  <si>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</si>
  <si>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</si>
  <si>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</si>
  <si>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</si>
  <si>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</si>
  <si>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</si>
  <si>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</si>
  <si>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</si>
  <si>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</si>
  <si>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</si>
  <si>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</si>
  <si>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</si>
  <si>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</si>
  <si>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</si>
  <si>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</si>
  <si>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</si>
  <si>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</si>
  <si>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</si>
  <si>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</si>
  <si>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</si>
  <si>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</si>
  <si>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</si>
  <si>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</si>
  <si>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</si>
  <si>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</si>
  <si>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</si>
  <si>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</si>
  <si>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</si>
  <si>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</si>
  <si>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</si>
  <si>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</si>
  <si>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</si>
  <si>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</si>
  <si>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</si>
  <si>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</si>
  <si>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</si>
  <si>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</si>
  <si>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</si>
  <si>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</si>
  <si>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</si>
  <si>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</si>
  <si>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</si>
  <si>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</si>
  <si>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</si>
  <si>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</si>
  <si>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</si>
  <si>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</si>
  <si>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</si>
  <si>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</si>
  <si>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</si>
  <si>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</si>
  <si>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</si>
  <si>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</si>
  <si>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</si>
  <si>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</si>
  <si>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</si>
  <si>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</si>
  <si>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</si>
  <si>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</si>
  <si>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</si>
  <si>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</si>
  <si>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</si>
  <si>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</si>
  <si>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</si>
  <si>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</si>
  <si>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</si>
  <si>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</si>
  <si>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</si>
  <si>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</si>
  <si>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</si>
  <si>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</si>
  <si>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</si>
  <si>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</si>
  <si>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</si>
  <si>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</si>
  <si>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</si>
  <si>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</si>
  <si>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</si>
  <si>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</si>
  <si>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</si>
  <si>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</si>
  <si>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</si>
  <si>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</si>
  <si>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</si>
  <si>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</si>
  <si>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</si>
  <si>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</si>
  <si>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</si>
  <si>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</si>
  <si>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</si>
  <si>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</si>
  <si>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</si>
  <si>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</si>
  <si>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</si>
  <si>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</si>
  <si>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</si>
  <si>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</si>
  <si>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</si>
  <si>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</si>
  <si>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</si>
  <si>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</si>
  <si>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</si>
  <si>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</si>
  <si>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</si>
  <si>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</si>
  <si>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</si>
  <si>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</si>
  <si>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</si>
  <si>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</si>
  <si>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</si>
  <si>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</si>
  <si>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</si>
  <si>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</si>
  <si>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</si>
  <si>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</si>
  <si>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</si>
  <si>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</si>
  <si>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</si>
  <si>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</si>
  <si>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</si>
  <si>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</si>
  <si>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</si>
  <si>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</si>
  <si>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</si>
  <si>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</si>
  <si>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</si>
  <si>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</si>
  <si>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</si>
  <si>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</si>
  <si>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</si>
  <si>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</si>
  <si>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</si>
  <si>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</si>
  <si>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</si>
  <si>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</si>
  <si>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</si>
  <si>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</si>
  <si>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</si>
  <si>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</si>
  <si>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</si>
  <si>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</si>
  <si>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</si>
  <si>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</si>
  <si>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</si>
  <si>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</si>
  <si>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</si>
  <si>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</si>
  <si>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</si>
  <si>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</si>
  <si>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</si>
  <si>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</si>
  <si>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</si>
  <si>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</si>
  <si>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</si>
  <si>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</si>
  <si>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</si>
  <si>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</si>
  <si>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</si>
  <si>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</si>
  <si>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</si>
  <si>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</si>
  <si>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</si>
  <si>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</si>
  <si>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</si>
  <si>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</si>
  <si>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</si>
  <si>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</si>
  <si>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</si>
  <si>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</si>
  <si>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</si>
  <si>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</si>
  <si>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</si>
  <si>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</si>
  <si>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</si>
  <si>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</si>
  <si>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</si>
  <si>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</si>
  <si>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</si>
  <si>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</si>
  <si>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</si>
  <si>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</si>
  <si>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</si>
  <si>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</si>
  <si>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</si>
  <si>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</si>
  <si>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</si>
  <si>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</si>
  <si>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</si>
  <si>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</si>
  <si>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</si>
  <si>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</si>
  <si>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</si>
  <si>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</si>
  <si>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</si>
  <si>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</si>
  <si>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</si>
  <si>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</si>
  <si>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</si>
  <si>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</si>
  <si>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</si>
  <si>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</si>
  <si>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</si>
  <si>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</si>
  <si>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</si>
  <si>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</si>
  <si>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</si>
  <si>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</si>
  <si>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</si>
  <si>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</si>
  <si>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</si>
  <si>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</si>
  <si>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</si>
  <si>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</si>
  <si>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</si>
  <si>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</si>
  <si>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</si>
  <si>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</si>
  <si>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</si>
  <si>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</si>
  <si>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</si>
  <si>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</si>
  <si>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</si>
  <si>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</si>
  <si>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</si>
  <si>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</si>
  <si>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</si>
  <si>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</si>
  <si>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</si>
  <si>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</si>
  <si>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</si>
  <si>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</si>
  <si>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</si>
  <si>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</si>
  <si>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</si>
  <si>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</si>
  <si>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</si>
  <si>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</si>
  <si>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</si>
  <si>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</si>
  <si>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</si>
  <si>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</si>
  <si>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</si>
  <si>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</si>
  <si>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</si>
  <si>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</si>
  <si>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</si>
  <si>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</si>
  <si>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</si>
  <si>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</si>
  <si>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</si>
  <si>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</si>
  <si>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</si>
  <si>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</si>
  <si>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</si>
  <si>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</si>
  <si>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</si>
  <si>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</si>
  <si>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</si>
  <si>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</si>
  <si>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</si>
  <si>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</si>
  <si>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</si>
  <si>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</si>
  <si>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</si>
  <si>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</si>
  <si>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</si>
  <si>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</si>
  <si>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</si>
  <si>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</si>
  <si>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</si>
  <si>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</si>
  <si>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</si>
  <si>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</si>
  <si>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</si>
  <si>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</si>
  <si>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</si>
  <si>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</si>
  <si>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</si>
  <si>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</si>
  <si>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</si>
  <si>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</si>
  <si>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</si>
  <si>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</si>
  <si>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</si>
  <si>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</si>
  <si>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</si>
  <si>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</si>
  <si>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</si>
  <si>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</si>
  <si>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</si>
  <si>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</si>
  <si>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</si>
  <si>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</si>
  <si>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</si>
  <si>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</si>
  <si>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</si>
  <si>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</si>
  <si>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</si>
  <si>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</si>
  <si>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</si>
  <si>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</si>
  <si>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</si>
  <si>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</si>
  <si>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</si>
  <si>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</si>
  <si>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</si>
  <si>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</si>
  <si>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</si>
  <si>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</si>
  <si>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</si>
  <si>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</si>
  <si>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</si>
  <si>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</si>
  <si>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</si>
  <si>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</si>
  <si>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</si>
  <si>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</si>
  <si>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</si>
  <si>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</si>
  <si>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</si>
  <si>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</si>
  <si>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</si>
  <si>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</si>
  <si>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</si>
  <si>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</si>
  <si>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</si>
  <si>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</si>
  <si>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</si>
  <si>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</si>
  <si>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</si>
  <si>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</si>
  <si>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</si>
  <si>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</si>
  <si>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</si>
  <si>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</si>
  <si>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</si>
  <si>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</si>
  <si>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</si>
  <si>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</si>
  <si>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</si>
  <si>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</si>
  <si>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</si>
  <si>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</si>
  <si>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</si>
  <si>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</si>
  <si>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</si>
  <si>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</si>
  <si>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</si>
  <si>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</si>
  <si>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</si>
  <si>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</si>
  <si>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</si>
  <si>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</si>
  <si>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</si>
  <si>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</si>
  <si>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</si>
  <si>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</si>
  <si>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</si>
  <si>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</si>
  <si>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</si>
  <si>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</si>
  <si>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</si>
  <si>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</si>
  <si>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</si>
  <si>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</si>
  <si>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</si>
  <si>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</si>
  <si>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</si>
  <si>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</si>
  <si>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</si>
  <si>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</si>
  <si>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</si>
  <si>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</si>
  <si>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</si>
  <si>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</si>
  <si>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</si>
  <si>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</si>
  <si>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</si>
  <si>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</si>
  <si>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</si>
  <si>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</si>
  <si>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</si>
  <si>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</si>
  <si>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</si>
  <si>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</si>
  <si>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</si>
  <si>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</si>
  <si>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</si>
  <si>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</si>
  <si>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</si>
  <si>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</si>
  <si>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</si>
  <si>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</si>
  <si>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</si>
  <si>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</si>
  <si>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</si>
  <si>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</si>
  <si>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</si>
  <si>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</si>
  <si>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</si>
  <si>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</si>
  <si>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</si>
  <si>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</si>
  <si>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</si>
  <si>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</si>
  <si>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</si>
  <si>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</si>
  <si>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</si>
  <si>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</si>
  <si>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</si>
  <si>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</si>
  <si>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</si>
  <si>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</si>
  <si>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</si>
  <si>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</si>
  <si>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</si>
  <si>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</si>
  <si>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</si>
  <si>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</si>
  <si>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</si>
  <si>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</si>
  <si>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</si>
  <si>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</si>
  <si>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</si>
  <si>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</si>
  <si>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</si>
  <si>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</si>
  <si>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</si>
  <si>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</si>
  <si>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</si>
  <si>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</si>
  <si>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</si>
  <si>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</si>
  <si>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</si>
  <si>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</si>
  <si>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</si>
  <si>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</si>
  <si>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</si>
  <si>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</si>
  <si>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</si>
  <si>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</si>
  <si>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</si>
  <si>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</si>
  <si>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</si>
  <si>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</si>
  <si>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</si>
  <si>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</si>
  <si>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</si>
  <si>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</si>
  <si>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</si>
  <si>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</si>
  <si>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</si>
  <si>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</si>
  <si>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</si>
  <si>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</si>
  <si>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</si>
  <si>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</si>
  <si>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</si>
  <si>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</si>
  <si>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</si>
  <si>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</si>
  <si>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</si>
  <si>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</si>
  <si>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</si>
  <si>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</si>
  <si>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</si>
  <si>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</si>
  <si>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</si>
  <si>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</si>
  <si>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</si>
  <si>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</si>
  <si>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</si>
  <si>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</si>
  <si>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</si>
  <si>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</si>
  <si>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</si>
  <si>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</si>
  <si>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</si>
  <si>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</si>
  <si>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</si>
  <si>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</si>
  <si>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</si>
  <si>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</si>
  <si>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</si>
  <si>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</si>
  <si>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</si>
  <si>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</si>
  <si>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</si>
  <si>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</si>
  <si>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</si>
  <si>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</si>
  <si>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</si>
  <si>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</si>
  <si>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</si>
  <si>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</si>
  <si>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</si>
  <si>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</si>
  <si>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</si>
  <si>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</si>
  <si>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</si>
  <si>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</si>
  <si>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</si>
  <si>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</si>
  <si>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</si>
  <si>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</si>
  <si>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</si>
  <si>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</si>
  <si>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</si>
  <si>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</si>
  <si>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</si>
  <si>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</si>
  <si>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</si>
  <si>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</si>
  <si>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</si>
  <si>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</si>
  <si>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</si>
  <si>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</si>
  <si>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</si>
  <si>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</si>
  <si>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</si>
  <si>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</si>
  <si>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</si>
  <si>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</si>
  <si>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</si>
  <si>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</si>
  <si>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</si>
  <si>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</si>
  <si>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</si>
  <si>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</si>
  <si>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</si>
  <si>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</si>
  <si>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</si>
  <si>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</si>
  <si>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</si>
  <si>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</si>
  <si>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</si>
  <si>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</si>
  <si>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</si>
  <si>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</si>
  <si>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</si>
  <si>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</si>
  <si>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</si>
  <si>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</si>
  <si>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</si>
  <si>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</si>
  <si>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</si>
  <si>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</si>
  <si>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</si>
  <si>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</si>
  <si>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</si>
  <si>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</si>
  <si>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</si>
  <si>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</si>
  <si>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</si>
  <si>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</si>
  <si>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</si>
  <si>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</si>
  <si>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</si>
  <si>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</si>
  <si>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</si>
  <si>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</si>
  <si>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</si>
  <si>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</si>
  <si>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</si>
  <si>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</si>
  <si>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</si>
  <si>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</si>
  <si>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</si>
  <si>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</si>
  <si>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</si>
  <si>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</si>
  <si>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</si>
  <si>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</si>
  <si>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</si>
  <si>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</si>
  <si>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</si>
  <si>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</si>
  <si>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</si>
  <si>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</si>
  <si>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</si>
  <si>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</si>
  <si>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</si>
  <si>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</si>
  <si>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</si>
  <si>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</si>
  <si>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</si>
  <si>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</si>
  <si>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</si>
  <si>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</si>
  <si>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</si>
  <si>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</si>
  <si>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</si>
  <si>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</si>
  <si>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</si>
  <si>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</si>
  <si>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</si>
  <si>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</si>
  <si>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</si>
  <si>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</si>
  <si>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</si>
  <si>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</si>
  <si>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</si>
  <si>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</si>
  <si>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</si>
  <si>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</si>
  <si>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</si>
  <si>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</si>
  <si>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</si>
  <si>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</si>
  <si>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</si>
  <si>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</si>
  <si>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</si>
  <si>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</si>
  <si>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</si>
  <si>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</si>
  <si>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</si>
  <si>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</si>
  <si>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</si>
  <si>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</si>
  <si>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</si>
  <si>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</si>
  <si>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</si>
  <si>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</si>
  <si>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</si>
  <si>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</si>
  <si>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</si>
  <si>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</si>
  <si>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</si>
  <si>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</si>
  <si>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</si>
  <si>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</si>
  <si>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</si>
  <si>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</si>
  <si>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</si>
  <si>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</si>
  <si>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</si>
  <si>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</si>
  <si>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</si>
  <si>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</si>
  <si>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</si>
  <si>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</si>
  <si>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</si>
  <si>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</si>
  <si>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</si>
  <si>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</si>
  <si>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</si>
  <si>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</si>
  <si>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</si>
  <si>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</si>
  <si>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</si>
  <si>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</si>
  <si>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</si>
  <si>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</si>
  <si>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</si>
  <si>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</si>
  <si>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</si>
  <si>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</si>
  <si>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</si>
  <si>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</si>
  <si>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</si>
  <si>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</si>
  <si>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</si>
  <si>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</si>
  <si>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</si>
  <si>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</si>
  <si>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</si>
  <si>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</si>
  <si>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</si>
  <si>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</si>
  <si>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</si>
  <si>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</si>
  <si>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</si>
  <si>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</si>
  <si>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</si>
  <si>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</si>
  <si>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</si>
  <si>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</si>
  <si>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</si>
  <si>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</si>
  <si>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</si>
  <si>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</si>
  <si>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</si>
  <si>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</si>
  <si>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</si>
  <si>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</si>
  <si>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</si>
  <si>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</si>
  <si>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</si>
  <si>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</si>
  <si>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</si>
  <si>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</si>
  <si>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</si>
  <si>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</si>
  <si>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</si>
  <si>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</si>
  <si>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</si>
  <si>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</si>
  <si>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</si>
  <si>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</si>
  <si>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</si>
  <si>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</si>
  <si>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</si>
  <si>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</si>
  <si>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</si>
  <si>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</si>
  <si>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</si>
  <si>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</si>
  <si>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</si>
  <si>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</si>
  <si>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</si>
  <si>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</si>
  <si>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</si>
  <si>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</si>
  <si>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</si>
  <si>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</si>
  <si>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</si>
  <si>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</si>
  <si>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</si>
  <si>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</si>
  <si>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</si>
  <si>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</si>
  <si>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</si>
  <si>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</si>
  <si>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</si>
  <si>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</si>
  <si>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</si>
  <si>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</si>
  <si>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</si>
  <si>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</si>
  <si>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</si>
  <si>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</si>
  <si>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</si>
  <si>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</si>
  <si>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</si>
  <si>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</si>
  <si>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</si>
  <si>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</si>
  <si>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</si>
  <si>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</si>
  <si>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</si>
  <si>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</si>
  <si>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</si>
  <si>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</si>
  <si>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</si>
  <si>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</si>
  <si>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</si>
  <si>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</si>
  <si>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</si>
  <si>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</si>
  <si>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</si>
  <si>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</si>
  <si>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</si>
  <si>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</si>
  <si>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</si>
  <si>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</si>
  <si>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</si>
  <si>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</si>
  <si>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</si>
  <si>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</si>
  <si>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</si>
  <si>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</si>
  <si>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</si>
  <si>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</si>
  <si>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</si>
  <si>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</si>
  <si>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</si>
  <si>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</si>
  <si>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</si>
  <si>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</si>
  <si>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</si>
  <si>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</si>
  <si>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</si>
  <si>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</si>
  <si>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</si>
  <si>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</si>
  <si>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</si>
  <si>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</si>
  <si>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</si>
  <si>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</si>
  <si>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</si>
  <si>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</si>
  <si>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</si>
  <si>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</si>
  <si>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</si>
  <si>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</si>
  <si>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</si>
  <si>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</si>
  <si>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</si>
  <si>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</si>
  <si>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</si>
  <si>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</si>
  <si>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</si>
  <si>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</si>
  <si>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</si>
  <si>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</si>
  <si>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</si>
  <si>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</si>
  <si>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</si>
  <si>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</si>
  <si>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</si>
  <si>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</si>
  <si>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</si>
  <si>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</si>
  <si>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</si>
  <si>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</si>
  <si>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</si>
  <si>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</si>
  <si>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</si>
  <si>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</si>
  <si>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</si>
  <si>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</si>
  <si>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</si>
  <si>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</si>
  <si>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</si>
  <si>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</si>
  <si>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</si>
  <si>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</si>
  <si>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</si>
  <si>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</si>
  <si>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</si>
  <si>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</si>
  <si>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</si>
  <si>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</si>
  <si>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</si>
  <si>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</si>
  <si>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</si>
  <si>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</si>
  <si>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</si>
  <si>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</si>
  <si>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</si>
  <si>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</si>
  <si>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</si>
  <si>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</si>
  <si>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</si>
  <si>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</si>
  <si>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</si>
  <si>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</si>
  <si>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</si>
  <si>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</si>
  <si>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</si>
  <si>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</si>
  <si>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</si>
  <si>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</si>
  <si>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</si>
  <si>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</si>
  <si>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</si>
  <si>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</si>
  <si>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</si>
  <si>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</si>
  <si>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</si>
  <si>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</si>
  <si>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</si>
  <si>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</si>
  <si>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</si>
  <si>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</si>
  <si>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</si>
  <si>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</si>
  <si>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</si>
  <si>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</si>
  <si>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</si>
  <si>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</si>
  <si>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</si>
  <si>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</si>
  <si>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</si>
  <si>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</si>
  <si>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</si>
  <si>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</si>
  <si>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</si>
  <si>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</si>
  <si>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</si>
  <si>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</si>
  <si>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</si>
  <si>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</si>
  <si>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</si>
  <si>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</si>
  <si>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</si>
  <si>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</si>
  <si>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</si>
  <si>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</si>
  <si>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</si>
  <si>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</si>
  <si>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</si>
  <si>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</si>
  <si>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</si>
  <si>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</si>
  <si>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</si>
  <si>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</si>
  <si>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</si>
  <si>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</si>
  <si>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</si>
  <si>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</si>
  <si>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</si>
  <si>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</si>
  <si>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</si>
  <si>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</si>
  <si>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</si>
  <si>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</si>
  <si>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</si>
  <si>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</si>
  <si>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</si>
  <si>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</si>
  <si>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</si>
  <si>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</si>
  <si>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</si>
  <si>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</si>
  <si>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</si>
  <si>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</si>
  <si>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</si>
  <si>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</si>
  <si>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</si>
  <si>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</si>
  <si>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</si>
  <si>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</si>
  <si>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</si>
  <si>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</si>
  <si>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</si>
  <si>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</si>
  <si>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</si>
  <si>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</si>
  <si>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</si>
  <si>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</si>
  <si>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</si>
  <si>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</si>
  <si>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</si>
  <si>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</si>
  <si>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</si>
  <si>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</si>
  <si>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</si>
  <si>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</si>
  <si>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</si>
  <si>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</si>
  <si>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</si>
  <si>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</si>
  <si>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</si>
  <si>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</si>
  <si>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</si>
  <si>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</si>
  <si>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</si>
  <si>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</si>
  <si>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</si>
  <si>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</si>
  <si>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</si>
  <si>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</si>
  <si>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</si>
  <si>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</si>
  <si>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</si>
  <si>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</si>
  <si>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</si>
  <si>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</si>
  <si>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</si>
  <si>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</si>
  <si>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</si>
  <si>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</si>
  <si>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</si>
  <si>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</si>
  <si>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</si>
  <si>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</si>
  <si>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</si>
  <si>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</si>
  <si>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</si>
  <si>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</si>
  <si>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</si>
  <si>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</si>
  <si>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</si>
  <si>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</si>
  <si>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</si>
  <si>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</si>
  <si>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</si>
  <si>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</si>
  <si>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</si>
  <si>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</si>
  <si>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</si>
  <si>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</si>
  <si>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</si>
  <si>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</si>
  <si>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</si>
  <si>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</si>
  <si>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</si>
  <si>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</si>
  <si>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</si>
  <si>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</si>
  <si>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</si>
  <si>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</si>
  <si>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</si>
  <si>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</si>
  <si>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</si>
  <si>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</si>
  <si>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</si>
  <si>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</si>
  <si>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</si>
  <si>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</si>
  <si>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</si>
  <si>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</si>
  <si>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</si>
  <si>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</si>
  <si>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</si>
  <si>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</si>
  <si>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</si>
  <si>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</si>
  <si>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</si>
  <si>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</si>
  <si>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</si>
  <si>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</si>
  <si>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</si>
  <si>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</si>
  <si>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</si>
  <si>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</si>
  <si>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</si>
  <si>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</si>
  <si>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</si>
  <si>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</si>
  <si>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</si>
  <si>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</si>
  <si>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</si>
  <si>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</si>
  <si>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</si>
  <si>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</si>
  <si>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</si>
  <si>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</si>
  <si>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</si>
  <si>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</si>
  <si>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</si>
  <si>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</si>
  <si>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</si>
  <si>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</si>
  <si>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</si>
  <si>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</si>
  <si>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</si>
  <si>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</si>
  <si>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</si>
  <si>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</si>
  <si>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</si>
  <si>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</si>
  <si>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</si>
  <si>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</si>
  <si>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</si>
  <si>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</si>
  <si>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</si>
  <si>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</si>
  <si>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</si>
  <si>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</si>
  <si>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</si>
  <si>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</si>
  <si>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</si>
  <si>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</si>
  <si>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</si>
  <si>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</si>
  <si>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</si>
  <si>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</si>
  <si>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</si>
  <si>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</si>
  <si>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</si>
  <si>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</si>
  <si>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</si>
  <si>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</si>
  <si>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</si>
  <si>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</si>
  <si>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</si>
  <si>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</si>
  <si>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</si>
  <si>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</si>
  <si>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</si>
  <si>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</si>
  <si>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</si>
  <si>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</si>
  <si>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</si>
  <si>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</si>
  <si>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</si>
  <si>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</si>
  <si>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</si>
  <si>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</si>
  <si>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</si>
  <si>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</si>
  <si>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</si>
  <si>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</si>
  <si>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</si>
  <si>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</si>
  <si>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</si>
  <si>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</si>
  <si>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</si>
  <si>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</si>
  <si>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</si>
  <si>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</si>
  <si>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</si>
  <si>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</si>
  <si>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</si>
  <si>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</si>
  <si>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</si>
  <si>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</si>
  <si>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</si>
  <si>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</si>
  <si>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</si>
  <si>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</si>
  <si>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</si>
  <si>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</si>
  <si>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</si>
  <si>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</si>
  <si>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</si>
  <si>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</si>
  <si>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</si>
  <si>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</si>
  <si>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</si>
  <si>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</si>
  <si>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</si>
  <si>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</si>
  <si>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</si>
  <si>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</si>
  <si>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</si>
  <si>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</si>
  <si>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</si>
  <si>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</si>
  <si>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</si>
  <si>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</si>
  <si>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</si>
  <si>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</si>
  <si>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</si>
  <si>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</si>
  <si>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</si>
  <si>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</si>
  <si>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</si>
  <si>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</si>
  <si>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</si>
  <si>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</si>
  <si>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</si>
  <si>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</si>
  <si>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</si>
  <si>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</si>
  <si>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</si>
  <si>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</si>
  <si>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</si>
  <si>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</si>
  <si>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</si>
  <si>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</si>
  <si>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</si>
  <si>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</si>
  <si>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</si>
  <si>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</si>
  <si>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</si>
  <si>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</si>
  <si>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</si>
  <si>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</si>
  <si>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</si>
  <si>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</si>
  <si>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</si>
  <si>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</si>
  <si>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</si>
  <si>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</si>
  <si>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</si>
  <si>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</si>
  <si>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</si>
  <si>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</si>
  <si>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</si>
  <si>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</si>
  <si>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</si>
  <si>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</si>
  <si>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</si>
  <si>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</si>
  <si>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</si>
  <si>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</si>
  <si>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</si>
  <si>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</si>
  <si>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</si>
  <si>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</si>
  <si>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</si>
  <si>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</si>
  <si>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</si>
  <si>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</si>
  <si>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</si>
  <si>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</si>
  <si>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</si>
  <si>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</si>
  <si>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</si>
  <si>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</si>
  <si>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</si>
  <si>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</si>
  <si>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</si>
  <si>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</si>
  <si>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</si>
  <si>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</si>
  <si>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</si>
  <si>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</si>
  <si>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</si>
  <si>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</si>
  <si>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</si>
  <si>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</si>
  <si>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</si>
  <si>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</si>
  <si>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</si>
  <si>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</si>
  <si>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</si>
  <si>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</si>
  <si>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</si>
  <si>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</si>
  <si>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</si>
  <si>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</si>
  <si>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</si>
  <si>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</si>
  <si>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</si>
  <si>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</si>
  <si>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</si>
  <si>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</si>
  <si>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</si>
  <si>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</si>
  <si>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</si>
  <si>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</si>
  <si>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</si>
  <si>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</si>
  <si>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</si>
  <si>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</si>
  <si>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</si>
  <si>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</si>
  <si>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</si>
  <si>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</si>
  <si>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</si>
  <si>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</si>
  <si>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</si>
  <si>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</si>
  <si>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</si>
  <si>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</si>
  <si>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</si>
  <si>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</si>
  <si>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</si>
  <si>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</si>
  <si>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</si>
  <si>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</si>
  <si>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</si>
  <si>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</si>
  <si>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</si>
  <si>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</si>
  <si>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</si>
  <si>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</si>
  <si>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</si>
  <si>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</si>
  <si>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</si>
  <si>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</si>
  <si>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</si>
  <si>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</si>
  <si>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</si>
  <si>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</si>
  <si>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</si>
  <si>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</si>
  <si>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</si>
  <si>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</si>
  <si>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</si>
  <si>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</si>
  <si>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</si>
  <si>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</si>
  <si>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</si>
  <si>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</si>
  <si>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</si>
  <si>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</si>
  <si>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</si>
  <si>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</si>
  <si>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</si>
  <si>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</si>
  <si>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</si>
  <si>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</si>
  <si>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</si>
  <si>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</si>
  <si>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</si>
  <si>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</si>
  <si>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</si>
  <si>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</si>
  <si>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</si>
  <si>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</si>
  <si>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</si>
  <si>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</si>
  <si>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</si>
  <si>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</si>
  <si>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</si>
  <si>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</si>
  <si>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</si>
  <si>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</si>
  <si>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</si>
  <si>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</si>
  <si>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</si>
  <si>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</si>
  <si>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</si>
  <si>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</si>
  <si>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</si>
  <si>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</si>
  <si>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</si>
  <si>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</si>
  <si>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</si>
  <si>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</si>
  <si>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</si>
  <si>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</si>
  <si>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</si>
  <si>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</si>
  <si>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</si>
  <si>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</si>
  <si>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</si>
  <si>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</si>
  <si>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</si>
  <si>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</si>
  <si>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</si>
  <si>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</si>
  <si>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</si>
  <si>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</si>
  <si>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</si>
  <si>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</si>
  <si>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</si>
  <si>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</si>
  <si>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</si>
  <si>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</si>
  <si>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</si>
  <si>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</si>
  <si>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</si>
  <si>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</si>
  <si>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</si>
  <si>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</si>
  <si>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</si>
  <si>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</si>
  <si>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</si>
  <si>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</si>
  <si>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</si>
  <si>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</si>
  <si>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</si>
  <si>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</si>
  <si>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</si>
  <si>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</si>
  <si>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</si>
  <si>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</si>
  <si>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</si>
  <si>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</si>
  <si>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</si>
  <si>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</si>
  <si>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</si>
  <si>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</si>
  <si>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</si>
  <si>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</si>
  <si>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</si>
  <si>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</si>
  <si>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</si>
  <si>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</si>
  <si>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</si>
  <si>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</si>
  <si>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</si>
  <si>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</si>
  <si>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</si>
  <si>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</si>
  <si>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</si>
  <si>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</si>
  <si>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</si>
  <si>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</si>
  <si>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</si>
  <si>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</si>
  <si>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</si>
  <si>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</si>
  <si>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</si>
  <si>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</si>
  <si>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</si>
  <si>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</si>
  <si>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</si>
  <si>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</si>
  <si>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</si>
  <si>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</si>
  <si>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</si>
  <si>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</si>
  <si>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</si>
  <si>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</si>
  <si>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</si>
  <si>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</si>
  <si>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</si>
  <si>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</si>
  <si>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</si>
  <si>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</si>
  <si>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</si>
  <si>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</si>
  <si>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</si>
  <si>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</si>
  <si>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</si>
  <si>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</si>
  <si>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</si>
  <si>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</si>
  <si>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</si>
  <si>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</si>
  <si>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</si>
  <si>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</si>
  <si>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</si>
  <si>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</si>
  <si>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</si>
  <si>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</si>
  <si>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</si>
  <si>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</si>
  <si>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</si>
  <si>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</si>
  <si>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</si>
  <si>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</si>
  <si>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</si>
  <si>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</si>
  <si>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</si>
  <si>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</si>
  <si>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</si>
  <si>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</si>
  <si>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</si>
  <si>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</si>
  <si>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</si>
  <si>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</si>
  <si>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</si>
  <si>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</si>
  <si>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</si>
  <si>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</si>
  <si>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</si>
  <si>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</si>
  <si>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</si>
  <si>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</si>
  <si>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</si>
  <si>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</si>
  <si>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</si>
  <si>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</si>
  <si>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</si>
  <si>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</si>
  <si>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</si>
  <si>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</si>
  <si>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</si>
  <si>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</si>
  <si>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</si>
  <si>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</si>
  <si>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</si>
  <si>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</si>
  <si>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</si>
  <si>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</si>
  <si>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</si>
  <si>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</si>
  <si>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</si>
  <si>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</si>
  <si>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</si>
  <si>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</si>
  <si>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</si>
  <si>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</si>
  <si>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</si>
  <si>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</si>
  <si>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</si>
  <si>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</si>
  <si>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</si>
  <si>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</si>
  <si>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</si>
  <si>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</si>
  <si>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</si>
  <si>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</si>
  <si>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</si>
  <si>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</si>
  <si>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</si>
  <si>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</si>
  <si>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</si>
  <si>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</si>
  <si>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</si>
  <si>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</si>
  <si>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</si>
  <si>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</si>
  <si>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</si>
  <si>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</si>
  <si>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</si>
  <si>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</si>
  <si>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</si>
  <si>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</si>
  <si>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</si>
  <si>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</si>
  <si>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</si>
  <si>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</si>
  <si>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</si>
  <si>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</si>
  <si>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</si>
  <si>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</si>
  <si>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</si>
  <si>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</si>
  <si>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</si>
  <si>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</si>
  <si>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</si>
  <si>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</si>
  <si>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</si>
  <si>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</si>
  <si>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</si>
  <si>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</si>
  <si>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</si>
  <si>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</si>
  <si>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</si>
  <si>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</si>
  <si>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</si>
  <si>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</si>
  <si>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</si>
  <si>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</si>
  <si>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</si>
  <si>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</si>
  <si>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</si>
  <si>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</si>
  <si>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</si>
  <si>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</si>
  <si>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</si>
  <si>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</si>
  <si>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</si>
  <si>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</si>
  <si>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</si>
  <si>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</si>
  <si>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</si>
  <si>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</si>
  <si>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</si>
  <si>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</si>
  <si>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</si>
  <si>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</si>
  <si>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</si>
  <si>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</si>
  <si>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</si>
  <si>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</si>
  <si>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</si>
  <si>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</si>
  <si>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</si>
  <si>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</si>
  <si>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</si>
  <si>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</si>
  <si>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</si>
  <si>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</si>
  <si>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</si>
  <si>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</si>
  <si>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</si>
  <si>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</si>
  <si>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</si>
  <si>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</si>
  <si>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</si>
  <si>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</si>
  <si>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</si>
  <si>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</si>
  <si>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</si>
  <si>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</si>
  <si>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</si>
  <si>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</si>
  <si>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</si>
  <si>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</si>
  <si>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</si>
  <si>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</si>
  <si>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</si>
  <si>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</si>
  <si>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</si>
  <si>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</si>
  <si>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</si>
  <si>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</si>
  <si>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</si>
  <si>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</si>
  <si>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</si>
  <si>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</si>
  <si>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</si>
  <si>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</si>
  <si>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</si>
  <si>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</si>
  <si>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</si>
  <si>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</si>
  <si>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</si>
  <si>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</si>
  <si>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</si>
  <si>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</si>
  <si>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</si>
  <si>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</si>
  <si>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</si>
  <si>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</si>
  <si>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</si>
  <si>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</si>
  <si>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</si>
  <si>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</si>
  <si>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</si>
  <si>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</si>
  <si>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</si>
  <si>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</si>
  <si>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</si>
  <si>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</si>
  <si>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</si>
  <si>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</si>
  <si>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</si>
  <si>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</si>
  <si>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</si>
  <si>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</si>
  <si>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</si>
  <si>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</si>
  <si>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</si>
  <si>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</si>
  <si>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</si>
  <si>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</si>
  <si>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</si>
  <si>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</si>
  <si>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</si>
  <si>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</si>
  <si>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</si>
  <si>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</si>
  <si>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</si>
  <si>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</si>
  <si>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</si>
  <si>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</si>
  <si>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</si>
  <si>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</si>
  <si>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</si>
  <si>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</si>
  <si>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</si>
  <si>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</si>
  <si>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</si>
  <si>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</si>
  <si>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</si>
  <si>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</si>
  <si>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</si>
  <si>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</si>
  <si>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</si>
  <si>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</si>
  <si>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</si>
  <si>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</si>
  <si>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</si>
  <si>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</si>
  <si>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</si>
  <si>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</si>
  <si>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</si>
  <si>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</si>
  <si>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</si>
  <si>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</si>
  <si>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</si>
  <si>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</si>
  <si>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</si>
  <si>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</si>
  <si>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</si>
  <si>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</si>
  <si>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</si>
  <si>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</si>
  <si>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</si>
  <si>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</si>
  <si>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</si>
  <si>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</si>
  <si>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</si>
  <si>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</si>
  <si>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</si>
  <si>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</si>
  <si>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</si>
  <si>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</si>
  <si>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</si>
  <si>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</si>
  <si>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</si>
  <si>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</si>
  <si>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</si>
  <si>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</si>
  <si>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</si>
  <si>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</si>
  <si>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</si>
  <si>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</si>
  <si>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</si>
  <si>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</si>
  <si>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</si>
  <si>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</si>
  <si>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</si>
  <si>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</si>
  <si>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</si>
  <si>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</si>
  <si>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</si>
  <si>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</si>
  <si>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</si>
  <si>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</si>
  <si>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</si>
  <si>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</si>
  <si>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</si>
  <si>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</si>
  <si>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</si>
  <si>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</si>
  <si>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</si>
  <si>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</si>
  <si>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</si>
  <si>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</si>
  <si>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</si>
  <si>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</si>
  <si>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</si>
  <si>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</si>
  <si>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</si>
  <si>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</si>
  <si>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</si>
  <si>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</si>
  <si>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</si>
  <si>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</si>
  <si>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</si>
  <si>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</si>
  <si>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</si>
  <si>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</si>
  <si>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</si>
  <si>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</si>
  <si>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</si>
  <si>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</si>
  <si>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</si>
  <si>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</si>
  <si>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</si>
  <si>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</si>
  <si>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</si>
  <si>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</si>
  <si>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</si>
  <si>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</si>
  <si>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</si>
  <si>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</si>
  <si>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</si>
  <si>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179997 Site</t>
  </si>
  <si>
    <t>Construction Laborers</t>
  </si>
  <si>
    <t>Operating Engineers and Other Construction Equipment Operators</t>
  </si>
  <si>
    <t>47-2061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</si>
</sst>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26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D28" sqref="D28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4" t="s">
        <v>322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3" t="s">
        <v>321</v>
      </c>
      <c r="J5" s="173"/>
      <c r="K5" s="173"/>
      <c r="L5" s="173"/>
      <c r="M5" s="173"/>
      <c r="N5" s="173"/>
      <c r="O5" s="173"/>
      <c r="P5" s="173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2"/>
      <c r="H6" s="40"/>
      <c r="I6" s="183"/>
      <c r="J6" s="183"/>
      <c r="K6" s="183"/>
      <c r="L6" s="183"/>
      <c r="M6" s="183"/>
      <c r="N6" s="183"/>
      <c r="O6" s="183"/>
      <c r="P6" s="183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2"/>
      <c r="R7" s="71"/>
      <c r="S7" s="43" t="s">
        <v>6</v>
      </c>
      <c r="T7" s="116"/>
      <c r="U7" s="70"/>
      <c r="V7" s="2"/>
      <c r="W7" s="2"/>
      <c r="X7" s="186" t="s">
        <v>1835</v>
      </c>
      <c r="Y7" s="187"/>
      <c r="Z7" s="187"/>
      <c r="AA7" s="137"/>
      <c r="AB7" s="137"/>
      <c r="AC7" s="137"/>
      <c r="AD7" s="137"/>
      <c r="AE7" s="13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4" t="s">
        <v>1837</v>
      </c>
      <c r="E8" s="154"/>
      <c r="F8" s="154"/>
      <c r="G8" s="70"/>
      <c r="H8" s="41"/>
      <c r="I8" s="166"/>
      <c r="J8" s="184"/>
      <c r="K8" s="167"/>
      <c r="L8" s="166"/>
      <c r="M8" s="167"/>
      <c r="N8" s="131"/>
      <c r="O8" s="166"/>
      <c r="P8" s="167"/>
      <c r="Q8" s="132"/>
      <c r="R8" s="38"/>
      <c r="S8" s="43" t="s">
        <v>7</v>
      </c>
      <c r="T8" s="116"/>
      <c r="U8" s="53"/>
      <c r="V8" s="2"/>
      <c r="W8" s="2"/>
      <c r="X8" s="179" t="s">
        <v>1836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4" t="s">
        <v>1838</v>
      </c>
      <c r="E9" s="154"/>
      <c r="F9" s="154"/>
      <c r="G9" s="70"/>
      <c r="H9" s="41"/>
      <c r="I9" s="166"/>
      <c r="J9" s="184"/>
      <c r="K9" s="167"/>
      <c r="L9" s="166"/>
      <c r="M9" s="167"/>
      <c r="N9" s="131"/>
      <c r="O9" s="166"/>
      <c r="P9" s="167"/>
      <c r="Q9" s="132"/>
      <c r="R9" s="38"/>
      <c r="S9" s="43" t="s">
        <v>8</v>
      </c>
      <c r="T9" s="116"/>
      <c r="U9" s="70"/>
      <c r="V9" s="2"/>
      <c r="W9" s="2"/>
      <c r="X9" s="86"/>
      <c r="Y9" s="87"/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5"/>
      <c r="J10" s="155"/>
      <c r="K10" s="155"/>
      <c r="L10" s="155"/>
      <c r="M10" s="155"/>
      <c r="N10" s="127"/>
      <c r="O10" s="155"/>
      <c r="P10" s="155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0"/>
      <c r="E11" s="171"/>
      <c r="F11" s="172"/>
      <c r="G11" s="53"/>
      <c r="H11" s="41"/>
      <c r="I11" s="155"/>
      <c r="J11" s="155"/>
      <c r="K11" s="155"/>
      <c r="L11" s="155"/>
      <c r="M11" s="155"/>
      <c r="N11" s="127"/>
      <c r="O11" s="155"/>
      <c r="P11" s="155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5"/>
      <c r="E13" s="176"/>
      <c r="F13" s="177"/>
      <c r="G13" s="115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4" t="s">
        <v>1840</v>
      </c>
      <c r="E14" s="154"/>
      <c r="F14" s="154"/>
      <c r="G14" s="70"/>
      <c r="H14" s="41"/>
      <c r="I14" s="155"/>
      <c r="J14" s="155"/>
      <c r="K14" s="155"/>
      <c r="L14" s="155"/>
      <c r="M14" s="155"/>
      <c r="N14" s="155"/>
      <c r="O14" s="155"/>
      <c r="P14" s="155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139" t="s">
        <v>1841</v>
      </c>
      <c r="E15" s="41"/>
      <c r="F15" s="41"/>
      <c r="G15" s="41"/>
      <c r="H15" s="41"/>
      <c r="I15" s="155"/>
      <c r="J15" s="155"/>
      <c r="K15" s="155"/>
      <c r="L15" s="155"/>
      <c r="M15" s="155"/>
      <c r="N15" s="155"/>
      <c r="O15" s="155"/>
      <c r="P15" s="155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6" t="s">
        <v>11</v>
      </c>
      <c r="D18" s="168" t="s">
        <v>9</v>
      </c>
      <c r="E18" s="156" t="s">
        <v>10</v>
      </c>
      <c r="F18" s="160" t="s">
        <v>1825</v>
      </c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2"/>
      <c r="AJ18" s="2"/>
      <c r="AK18" s="2"/>
    </row>
    <row r="19" spans="1:37" ht="46.5" customHeight="1" thickBot="1" x14ac:dyDescent="0.3">
      <c r="A19" s="2"/>
      <c r="B19" s="2"/>
      <c r="C19" s="157"/>
      <c r="D19" s="169"/>
      <c r="E19" s="157"/>
      <c r="F19" s="158" t="s">
        <v>1</v>
      </c>
      <c r="G19" s="158"/>
      <c r="H19" s="158"/>
      <c r="I19" s="158"/>
      <c r="J19" s="158"/>
      <c r="K19" s="159"/>
      <c r="L19" s="163" t="s">
        <v>13</v>
      </c>
      <c r="M19" s="158"/>
      <c r="N19" s="158"/>
      <c r="O19" s="158"/>
      <c r="P19" s="158"/>
      <c r="Q19" s="159"/>
      <c r="R19" s="163" t="s">
        <v>12</v>
      </c>
      <c r="S19" s="158"/>
      <c r="T19" s="158"/>
      <c r="U19" s="158"/>
      <c r="V19" s="158"/>
      <c r="W19" s="159"/>
      <c r="X19" s="188" t="s">
        <v>1826</v>
      </c>
      <c r="Y19" s="189"/>
      <c r="Z19" s="189"/>
      <c r="AA19" s="189"/>
      <c r="AB19" s="189"/>
      <c r="AC19" s="190"/>
      <c r="AD19" s="146" t="s">
        <v>14</v>
      </c>
      <c r="AE19" s="147"/>
      <c r="AF19" s="147"/>
      <c r="AG19" s="147"/>
      <c r="AH19" s="147"/>
      <c r="AI19" s="148"/>
      <c r="AJ19" s="2"/>
      <c r="AK19" s="2"/>
    </row>
    <row r="20" spans="1:37" ht="15.75" thickBot="1" x14ac:dyDescent="0.3">
      <c r="A20" s="2"/>
      <c r="B20" s="2"/>
      <c r="C20" s="157"/>
      <c r="D20" s="169"/>
      <c r="E20" s="157"/>
      <c r="F20" s="152" t="s">
        <v>2</v>
      </c>
      <c r="G20" s="152"/>
      <c r="H20" s="153"/>
      <c r="I20" s="151" t="s">
        <v>3</v>
      </c>
      <c r="J20" s="152"/>
      <c r="K20" s="153"/>
      <c r="L20" s="151" t="s">
        <v>2</v>
      </c>
      <c r="M20" s="152"/>
      <c r="N20" s="153"/>
      <c r="O20" s="151" t="s">
        <v>3</v>
      </c>
      <c r="P20" s="152"/>
      <c r="Q20" s="153"/>
      <c r="R20" s="151" t="s">
        <v>2</v>
      </c>
      <c r="S20" s="152"/>
      <c r="T20" s="153"/>
      <c r="U20" s="151" t="s">
        <v>3</v>
      </c>
      <c r="V20" s="152"/>
      <c r="W20" s="153"/>
      <c r="X20" s="151" t="s">
        <v>2</v>
      </c>
      <c r="Y20" s="152"/>
      <c r="Z20" s="153"/>
      <c r="AA20" s="151" t="s">
        <v>3</v>
      </c>
      <c r="AB20" s="152"/>
      <c r="AC20" s="153"/>
      <c r="AD20" s="151" t="s">
        <v>2</v>
      </c>
      <c r="AE20" s="152"/>
      <c r="AF20" s="153"/>
      <c r="AG20" s="151" t="s">
        <v>3</v>
      </c>
      <c r="AH20" s="152"/>
      <c r="AI20" s="153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320</v>
      </c>
      <c r="D22" s="92" t="s">
        <v>1842</v>
      </c>
      <c r="E22" s="93" t="s">
        <v>1844</v>
      </c>
      <c r="F22" s="97"/>
      <c r="G22" s="97"/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1843</v>
      </c>
      <c r="E23" s="93" t="str">
        <f>IF(ISERROR(VLOOKUP(D23,Sheet3!$A$2:$B$821,2,FALSE)),"",(VLOOKUP(D23,Sheet3!$A$2:$B$821,2,FALSE)))</f>
        <v>47-2073</v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8"/>
      <c r="D38" s="178"/>
      <c r="E38" s="178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9"/>
      <c r="T38" s="149"/>
      <c r="U38" s="150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0</v>
      </c>
      <c r="G39" s="96">
        <f>SUM(G22:G37)</f>
        <v>0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4"/>
      <c r="D42" s="164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40" t="s">
        <v>1829</v>
      </c>
      <c r="D43" s="141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2"/>
      <c r="D44" s="143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2"/>
      <c r="D45" s="143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2"/>
      <c r="D46" s="143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4"/>
      <c r="D47" s="145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X7:Z7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26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2017-12-08T15:57:11Z</cp:lastPrinted>
  <dcterms:created xsi:type="dcterms:W3CDTF">2016-01-07T15:16:02Z</dcterms:created>
  <dcterms:modified xsi:type="dcterms:W3CDTF">2018-03-09T17:16:57Z</dcterms:modified>
</cp:coreProperties>
</file>