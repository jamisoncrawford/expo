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Z:\E. Smith Projects\18-003 NYS Fairgrounds Exposition Building\Certified Payrolls\"/>
    </mc:Choice>
  </mc:AlternateContent>
  <xr:revisionPtr revIDLastSave="0" documentId="13_ncr:1_{064BE811-71C1-4F02-9DEB-DF61B132AA74}" xr6:coauthVersionLast="33" xr6:coauthVersionMax="33" xr10:uidLastSave="{00000000-0000-0000-0000-000000000000}"/>
  <bookViews>
    <workbookView xWindow="930" yWindow="0" windowWidth="27870" windowHeight="1221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2" i="1" l="1"/>
  <c r="M22" i="1"/>
  <c r="H22" i="1"/>
  <c r="G22" i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<sst xmlns="http://schemas.openxmlformats.org/spreadsheetml/2006/main" count="2103" uniqueCount="1843">
  <si>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</si>
  <si>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</si>
  <si>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</si>
  <si>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</si>
  <si>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</si>
  <si>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</si>
  <si>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</si>
  <si>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</si>
  <si>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</si>
  <si>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</si>
  <si>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</si>
  <si>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</si>
  <si>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</si>
  <si>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</si>
  <si>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</si>
  <si>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</si>
  <si>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</si>
  <si>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</si>
  <si>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</si>
  <si>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</si>
  <si>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</si>
  <si>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</si>
  <si>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</si>
  <si>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</si>
  <si>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</si>
  <si>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</si>
  <si>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</si>
  <si>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</si>
  <si>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</si>
  <si>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</si>
  <si>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</si>
  <si>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</si>
  <si>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</si>
  <si>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</si>
  <si>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</si>
  <si>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</si>
  <si>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</si>
  <si>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</si>
  <si>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</si>
  <si>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</si>
  <si>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</si>
  <si>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</si>
  <si>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</si>
  <si>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</si>
  <si>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</si>
  <si>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</si>
  <si>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</si>
  <si>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</si>
  <si>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</si>
  <si>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</si>
  <si>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</si>
  <si>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</si>
  <si>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</si>
  <si>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</si>
  <si>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</si>
  <si>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</si>
  <si>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</si>
  <si>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</si>
  <si>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</si>
  <si>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</si>
  <si>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</si>
  <si>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</si>
  <si>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</si>
  <si>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</si>
  <si>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</si>
  <si>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</si>
  <si>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</si>
  <si>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</si>
  <si>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</si>
  <si>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</si>
  <si>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</si>
  <si>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</si>
  <si>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</si>
  <si>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</si>
  <si>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</si>
  <si>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</si>
  <si>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</si>
  <si>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</si>
  <si>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</si>
  <si>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</si>
  <si>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</si>
  <si>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</si>
  <si>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</si>
  <si>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</si>
  <si>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</si>
  <si>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</si>
  <si>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</si>
  <si>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</si>
  <si>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</si>
  <si>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</si>
  <si>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</si>
  <si>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</si>
  <si>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</si>
  <si>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</si>
  <si>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</si>
  <si>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</si>
  <si>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</si>
  <si>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</si>
  <si>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</si>
  <si>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</si>
  <si>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</si>
  <si>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</si>
  <si>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</si>
  <si>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</si>
  <si>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</si>
  <si>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</si>
  <si>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</si>
  <si>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</si>
  <si>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</si>
  <si>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</si>
  <si>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</si>
  <si>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</si>
  <si>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</si>
  <si>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</si>
  <si>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</si>
  <si>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</si>
  <si>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</si>
  <si>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</si>
  <si>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</si>
  <si>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</si>
  <si>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</si>
  <si>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</si>
  <si>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</si>
  <si>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</si>
  <si>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</si>
  <si>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</si>
  <si>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</si>
  <si>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</si>
  <si>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</si>
  <si>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</si>
  <si>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</si>
  <si>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</si>
  <si>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</si>
  <si>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</si>
  <si>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</si>
  <si>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</si>
  <si>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</si>
  <si>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</si>
  <si>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</si>
  <si>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</si>
  <si>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</si>
  <si>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</si>
  <si>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</si>
  <si>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</si>
  <si>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</si>
  <si>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</si>
  <si>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</si>
  <si>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</si>
  <si>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</si>
  <si>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</si>
  <si>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</si>
  <si>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</si>
  <si>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</si>
  <si>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</si>
  <si>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</si>
  <si>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</si>
  <si>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</si>
  <si>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</si>
  <si>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</si>
  <si>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</si>
  <si>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</si>
  <si>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</si>
  <si>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</si>
  <si>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</si>
  <si>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</si>
  <si>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</si>
  <si>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</si>
  <si>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</si>
  <si>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</si>
  <si>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</si>
  <si>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</si>
  <si>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</si>
  <si>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</si>
  <si>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</si>
  <si>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</si>
  <si>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</si>
  <si>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</si>
  <si>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</si>
  <si>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</si>
  <si>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</si>
  <si>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</si>
  <si>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</si>
  <si>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</si>
  <si>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</si>
  <si>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</si>
  <si>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</si>
  <si>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</si>
  <si>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</si>
  <si>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</si>
  <si>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</si>
  <si>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</si>
  <si>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</si>
  <si>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</si>
  <si>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</si>
  <si>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</si>
  <si>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</si>
  <si>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</si>
  <si>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</si>
  <si>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</si>
  <si>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</si>
  <si>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</si>
  <si>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</si>
  <si>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</si>
  <si>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</si>
  <si>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</si>
  <si>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</si>
  <si>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</si>
  <si>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</si>
  <si>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</si>
  <si>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</si>
  <si>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</si>
  <si>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</si>
  <si>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</si>
  <si>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</si>
  <si>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</si>
  <si>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</si>
  <si>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</si>
  <si>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</si>
  <si>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</si>
  <si>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</si>
  <si>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</si>
  <si>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</si>
  <si>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</si>
  <si>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</si>
  <si>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</si>
  <si>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</si>
  <si>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</si>
  <si>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</si>
  <si>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</si>
  <si>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</si>
  <si>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</si>
  <si>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</si>
  <si>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</si>
  <si>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</si>
  <si>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</si>
  <si>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</si>
  <si>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</si>
  <si>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</si>
  <si>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</si>
  <si>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</si>
  <si>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</si>
  <si>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</si>
  <si>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</si>
  <si>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</si>
  <si>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</si>
  <si>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</si>
  <si>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</si>
  <si>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</si>
  <si>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</si>
  <si>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</si>
  <si>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</si>
  <si>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</si>
  <si>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</si>
  <si>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</si>
  <si>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</si>
  <si>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</si>
  <si>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</si>
  <si>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</si>
  <si>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</si>
  <si>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</si>
  <si>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</si>
  <si>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</si>
  <si>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</si>
  <si>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</si>
  <si>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</si>
  <si>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</si>
  <si>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</si>
  <si>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</si>
  <si>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</si>
  <si>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</si>
  <si>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</si>
  <si>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</si>
  <si>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</si>
  <si>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</si>
  <si>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</si>
  <si>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</si>
  <si>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</si>
  <si>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</si>
  <si>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</si>
  <si>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</si>
  <si>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</si>
  <si>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</si>
  <si>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</si>
  <si>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</si>
  <si>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</si>
  <si>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</si>
  <si>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</si>
  <si>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</si>
  <si>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</si>
  <si>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</si>
  <si>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</si>
  <si>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</si>
  <si>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</si>
  <si>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</si>
  <si>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</si>
  <si>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</si>
  <si>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</si>
  <si>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</si>
  <si>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</si>
  <si>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</si>
  <si>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</si>
  <si>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</si>
  <si>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</si>
  <si>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</si>
  <si>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</si>
  <si>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</si>
  <si>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</si>
  <si>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</si>
  <si>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</si>
  <si>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</si>
  <si>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</si>
  <si>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</si>
  <si>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</si>
  <si>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</si>
  <si>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</si>
  <si>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</si>
  <si>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</si>
  <si>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</si>
  <si>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</si>
  <si>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</si>
  <si>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</si>
  <si>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</si>
  <si>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</si>
  <si>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</si>
  <si>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</si>
  <si>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</si>
  <si>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</si>
  <si>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</si>
  <si>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</si>
  <si>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</si>
  <si>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</si>
  <si>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</si>
  <si>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</si>
  <si>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</si>
  <si>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</si>
  <si>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</si>
  <si>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</si>
  <si>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</si>
  <si>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</si>
  <si>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</si>
  <si>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</si>
  <si>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</si>
  <si>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</si>
  <si>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</si>
  <si>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</si>
  <si>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</si>
  <si>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</si>
  <si>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</si>
  <si>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</si>
  <si>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</si>
  <si>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</si>
  <si>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</si>
  <si>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</si>
  <si>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</si>
  <si>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</si>
  <si>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</si>
  <si>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</si>
  <si>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</si>
  <si>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</si>
  <si>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</si>
  <si>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</si>
  <si>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</si>
  <si>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</si>
  <si>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</si>
  <si>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</si>
  <si>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</si>
  <si>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</si>
  <si>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</si>
  <si>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</si>
  <si>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</si>
  <si>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</si>
  <si>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</si>
  <si>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</si>
  <si>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</si>
  <si>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</si>
  <si>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</si>
  <si>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</si>
  <si>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</si>
  <si>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</si>
  <si>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</si>
  <si>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</si>
  <si>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</si>
  <si>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</si>
  <si>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</si>
  <si>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</si>
  <si>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</si>
  <si>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</si>
  <si>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</si>
  <si>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</si>
  <si>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</si>
  <si>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</si>
  <si>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</si>
  <si>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</si>
  <si>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</si>
  <si>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</si>
  <si>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</si>
  <si>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</si>
  <si>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</si>
  <si>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</si>
  <si>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</si>
  <si>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</si>
  <si>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</si>
  <si>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</si>
  <si>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</si>
  <si>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</si>
  <si>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</si>
  <si>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</si>
  <si>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</si>
  <si>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</si>
  <si>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</si>
  <si>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</si>
  <si>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</si>
  <si>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</si>
  <si>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</si>
  <si>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</si>
  <si>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</si>
  <si>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</si>
  <si>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</si>
  <si>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</si>
  <si>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</si>
  <si>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</si>
  <si>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</si>
  <si>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</si>
  <si>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</si>
  <si>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</si>
  <si>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</si>
  <si>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</si>
  <si>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</si>
  <si>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</si>
  <si>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</si>
  <si>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</si>
  <si>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</si>
  <si>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</si>
  <si>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</si>
  <si>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</si>
  <si>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</si>
  <si>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</si>
  <si>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</si>
  <si>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</si>
  <si>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</si>
  <si>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</si>
  <si>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</si>
  <si>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</si>
  <si>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</si>
  <si>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</si>
  <si>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</si>
  <si>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</si>
  <si>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</si>
  <si>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</si>
  <si>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</si>
  <si>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</si>
  <si>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</si>
  <si>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</si>
  <si>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</si>
  <si>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</si>
  <si>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</si>
  <si>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</si>
  <si>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</si>
  <si>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</si>
  <si>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</si>
  <si>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</si>
  <si>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</si>
  <si>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</si>
  <si>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</si>
  <si>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</si>
  <si>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</si>
  <si>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</si>
  <si>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</si>
  <si>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</si>
  <si>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</si>
  <si>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</si>
  <si>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</si>
  <si>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</si>
  <si>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</si>
  <si>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</si>
  <si>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</si>
  <si>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</si>
  <si>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</si>
  <si>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</si>
  <si>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</si>
  <si>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</si>
  <si>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</si>
  <si>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</si>
  <si>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</si>
  <si>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</si>
  <si>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</si>
  <si>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</si>
  <si>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</si>
  <si>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</si>
  <si>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</si>
  <si>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</si>
  <si>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</si>
  <si>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</si>
  <si>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</si>
  <si>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</si>
  <si>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</si>
  <si>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</si>
  <si>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</si>
  <si>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</si>
  <si>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</si>
  <si>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</si>
  <si>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</si>
  <si>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</si>
  <si>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</si>
  <si>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</si>
  <si>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</si>
  <si>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</si>
  <si>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</si>
  <si>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</si>
  <si>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</si>
  <si>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</si>
  <si>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</si>
  <si>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</si>
  <si>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</si>
  <si>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</si>
  <si>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</si>
  <si>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</si>
  <si>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</si>
  <si>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</si>
  <si>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</si>
  <si>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</si>
  <si>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</si>
  <si>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</si>
  <si>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</si>
  <si>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</si>
  <si>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</si>
  <si>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</si>
  <si>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</si>
  <si>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</si>
  <si>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</si>
  <si>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</si>
  <si>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</si>
  <si>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</si>
  <si>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</si>
  <si>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</si>
  <si>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</si>
  <si>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</si>
  <si>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</si>
  <si>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</si>
  <si>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</si>
  <si>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</si>
  <si>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</si>
  <si>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</si>
  <si>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</si>
  <si>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</si>
  <si>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</si>
  <si>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</si>
  <si>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</si>
  <si>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</si>
  <si>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</si>
  <si>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</si>
  <si>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</si>
  <si>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</si>
  <si>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</si>
  <si>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</si>
  <si>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</si>
  <si>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</si>
  <si>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</si>
  <si>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</si>
  <si>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</si>
  <si>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</si>
  <si>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</si>
  <si>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</si>
  <si>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</si>
  <si>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</si>
  <si>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</si>
  <si>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</si>
  <si>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</si>
  <si>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</si>
  <si>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</si>
  <si>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</si>
  <si>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</si>
  <si>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</si>
  <si>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</si>
  <si>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</si>
  <si>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</si>
  <si>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</si>
  <si>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</si>
  <si>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</si>
  <si>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</si>
  <si>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</si>
  <si>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</si>
  <si>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</si>
  <si>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</si>
  <si>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</si>
  <si>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</si>
  <si>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</si>
  <si>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</si>
  <si>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</si>
  <si>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</si>
  <si>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</si>
  <si>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</si>
  <si>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</si>
  <si>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</si>
  <si>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</si>
  <si>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</si>
  <si>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</si>
  <si>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</si>
  <si>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</si>
  <si>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</si>
  <si>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</si>
  <si>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</si>
  <si>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</si>
  <si>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</si>
  <si>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</si>
  <si>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</si>
  <si>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</si>
  <si>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</si>
  <si>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</si>
  <si>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</si>
  <si>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</si>
  <si>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</si>
  <si>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</si>
  <si>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</si>
  <si>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</si>
  <si>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</si>
  <si>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</si>
  <si>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</si>
  <si>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</si>
  <si>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</si>
  <si>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</si>
  <si>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</si>
  <si>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</si>
  <si>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</si>
  <si>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</si>
  <si>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</si>
  <si>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</si>
  <si>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</si>
  <si>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</si>
  <si>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</si>
  <si>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</si>
  <si>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</si>
  <si>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</si>
  <si>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</si>
  <si>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</si>
  <si>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</si>
  <si>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</si>
  <si>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</si>
  <si>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</si>
  <si>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</si>
  <si>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</si>
  <si>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</si>
  <si>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</si>
  <si>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</si>
  <si>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</si>
  <si>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</si>
  <si>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</si>
  <si>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</si>
  <si>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</si>
  <si>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</si>
  <si>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</si>
  <si>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</si>
  <si>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</si>
  <si>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</si>
  <si>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</si>
  <si>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</si>
  <si>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</si>
  <si>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</si>
  <si>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</si>
  <si>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</si>
  <si>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</si>
  <si>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</si>
  <si>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</si>
  <si>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</si>
  <si>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</si>
  <si>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</si>
  <si>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</si>
  <si>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</si>
  <si>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</si>
  <si>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</si>
  <si>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</si>
  <si>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</si>
  <si>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</si>
  <si>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</si>
  <si>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</si>
  <si>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</si>
  <si>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</si>
  <si>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</si>
  <si>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</si>
  <si>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</si>
  <si>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</si>
  <si>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</si>
  <si>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</si>
  <si>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</si>
  <si>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</si>
  <si>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</si>
  <si>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</si>
  <si>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</si>
  <si>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</si>
  <si>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</si>
  <si>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</si>
  <si>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</si>
  <si>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</si>
  <si>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</si>
  <si>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</si>
  <si>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</si>
  <si>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</si>
  <si>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</si>
  <si>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</si>
  <si>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</si>
  <si>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</si>
  <si>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</si>
  <si>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</si>
  <si>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</si>
  <si>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</si>
  <si>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</si>
  <si>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</si>
  <si>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</si>
  <si>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</si>
  <si>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</si>
  <si>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</si>
  <si>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</si>
  <si>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</si>
  <si>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</si>
  <si>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</si>
  <si>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</si>
  <si>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</si>
  <si>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</si>
  <si>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</si>
  <si>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</si>
  <si>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</si>
  <si>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</si>
  <si>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</si>
  <si>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</si>
  <si>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</si>
  <si>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</si>
  <si>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</si>
  <si>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</si>
  <si>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</si>
  <si>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</si>
  <si>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</si>
  <si>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</si>
  <si>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</si>
  <si>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</si>
  <si>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</si>
  <si>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</si>
  <si>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</si>
  <si>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</si>
  <si>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</si>
  <si>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</si>
  <si>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</si>
  <si>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</si>
  <si>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</si>
  <si>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</si>
  <si>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</si>
  <si>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</si>
  <si>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</si>
  <si>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</si>
  <si>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</si>
  <si>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</si>
  <si>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</si>
  <si>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</si>
  <si>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</si>
  <si>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</si>
  <si>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</si>
  <si>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</si>
  <si>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</si>
  <si>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</si>
  <si>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</si>
  <si>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</si>
  <si>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</si>
  <si>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</si>
  <si>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</si>
  <si>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</si>
  <si>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</si>
  <si>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</si>
  <si>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</si>
  <si>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</si>
  <si>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</si>
  <si>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</si>
  <si>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</si>
  <si>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</si>
  <si>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</si>
  <si>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</si>
  <si>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</si>
  <si>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</si>
  <si>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</si>
  <si>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</si>
  <si>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</si>
  <si>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</si>
  <si>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</si>
  <si>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</si>
  <si>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</si>
  <si>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</si>
  <si>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</si>
  <si>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</si>
  <si>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</si>
  <si>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</si>
  <si>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</si>
  <si>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</si>
  <si>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</si>
  <si>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</si>
  <si>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</si>
  <si>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</si>
  <si>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</si>
  <si>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</si>
  <si>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</si>
  <si>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</si>
  <si>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</si>
  <si>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</si>
  <si>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</si>
  <si>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</si>
  <si>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</si>
  <si>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</si>
  <si>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</si>
  <si>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</si>
  <si>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</si>
  <si>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</si>
  <si>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</si>
  <si>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</si>
  <si>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</si>
  <si>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</si>
  <si>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</si>
  <si>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</si>
  <si>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</si>
  <si>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</si>
  <si>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</si>
  <si>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</si>
  <si>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</si>
  <si>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</si>
  <si>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</si>
  <si>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</si>
  <si>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</si>
  <si>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</si>
  <si>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</si>
  <si>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</si>
  <si>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</si>
  <si>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</si>
  <si>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</si>
  <si>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</si>
  <si>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</si>
  <si>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</si>
  <si>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</si>
  <si>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</si>
  <si>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</si>
  <si>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</si>
  <si>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</si>
  <si>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</si>
  <si>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</si>
  <si>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</si>
  <si>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</si>
  <si>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</si>
  <si>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</si>
  <si>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</si>
  <si>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</si>
  <si>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</si>
  <si>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</si>
  <si>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</si>
  <si>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</si>
  <si>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</si>
  <si>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</si>
  <si>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</si>
  <si>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</si>
  <si>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</si>
  <si>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</si>
  <si>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</si>
  <si>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</si>
  <si>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</si>
  <si>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</si>
  <si>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</si>
  <si>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</si>
  <si>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</si>
  <si>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</si>
  <si>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</si>
  <si>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</si>
  <si>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</si>
  <si>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</si>
  <si>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</si>
  <si>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</si>
  <si>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</si>
  <si>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</si>
  <si>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</si>
  <si>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</si>
  <si>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</si>
  <si>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</si>
  <si>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</si>
  <si>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</si>
  <si>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</si>
  <si>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</si>
  <si>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</si>
  <si>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</si>
  <si>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</si>
  <si>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</si>
  <si>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</si>
  <si>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</si>
  <si>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</si>
  <si>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</si>
  <si>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</si>
  <si>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</si>
  <si>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</si>
  <si>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</si>
  <si>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</si>
  <si>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</si>
  <si>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</si>
  <si>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</si>
  <si>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</si>
  <si>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</si>
  <si>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</si>
  <si>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</si>
  <si>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</si>
  <si>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</si>
  <si>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</si>
  <si>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</si>
  <si>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</si>
  <si>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</si>
  <si>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</si>
  <si>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</si>
  <si>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</si>
  <si>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</si>
  <si>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</si>
  <si>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</si>
  <si>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</si>
  <si>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</si>
  <si>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</si>
  <si>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</si>
  <si>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</si>
  <si>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</si>
  <si>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</si>
  <si>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</si>
  <si>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</si>
  <si>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</si>
  <si>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</si>
  <si>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</si>
  <si>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</si>
  <si>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</si>
  <si>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</si>
  <si>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</si>
  <si>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</si>
  <si>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</si>
  <si>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</si>
  <si>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</si>
  <si>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</si>
  <si>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</si>
  <si>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</si>
  <si>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</si>
  <si>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</si>
  <si>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</si>
  <si>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</si>
  <si>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</si>
  <si>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</si>
  <si>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</si>
  <si>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</si>
  <si>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</si>
  <si>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</si>
  <si>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</si>
  <si>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</si>
  <si>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</si>
  <si>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</si>
  <si>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</si>
  <si>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</si>
  <si>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</si>
  <si>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</si>
  <si>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</si>
  <si>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</si>
  <si>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</si>
  <si>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</si>
  <si>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</si>
  <si>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</si>
  <si>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</si>
  <si>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</si>
  <si>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</si>
  <si>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</si>
  <si>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</si>
  <si>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</si>
  <si>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</si>
  <si>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</si>
  <si>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</si>
  <si>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</si>
  <si>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</si>
  <si>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</si>
  <si>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</si>
  <si>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</si>
  <si>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</si>
  <si>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</si>
  <si>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</si>
  <si>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</si>
  <si>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</si>
  <si>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</si>
  <si>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</si>
  <si>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</si>
  <si>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</si>
  <si>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</si>
  <si>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</si>
  <si>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</si>
  <si>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</si>
  <si>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</si>
  <si>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</si>
  <si>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</si>
  <si>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</si>
  <si>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</si>
  <si>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</si>
  <si>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</si>
  <si>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</si>
  <si>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</si>
  <si>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</si>
  <si>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</si>
  <si>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</si>
  <si>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</si>
  <si>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</si>
  <si>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</si>
  <si>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</si>
  <si>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</si>
  <si>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</si>
  <si>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</si>
  <si>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</si>
  <si>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</si>
  <si>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</si>
  <si>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</si>
  <si>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</si>
  <si>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</si>
  <si>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</si>
  <si>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</si>
  <si>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</si>
  <si>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</si>
  <si>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</si>
  <si>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</si>
  <si>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</si>
  <si>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</si>
  <si>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</si>
  <si>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</si>
  <si>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</si>
  <si>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</si>
  <si>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</si>
  <si>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</si>
  <si>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</si>
  <si>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</si>
  <si>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</si>
  <si>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</si>
  <si>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</si>
  <si>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</si>
  <si>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</si>
  <si>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</si>
  <si>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</si>
  <si>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</si>
  <si>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</si>
  <si>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</si>
  <si>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</si>
  <si>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</si>
  <si>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</si>
  <si>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</si>
  <si>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</si>
  <si>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</si>
  <si>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</si>
  <si>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</si>
  <si>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</si>
  <si>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</si>
  <si>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</si>
  <si>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</si>
  <si>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</si>
  <si>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</si>
  <si>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</si>
  <si>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</si>
  <si>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</si>
  <si>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</si>
  <si>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</si>
  <si>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</si>
  <si>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</si>
  <si>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</si>
  <si>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</si>
  <si>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</si>
  <si>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</si>
  <si>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</si>
  <si>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</si>
  <si>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</si>
  <si>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</si>
  <si>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</si>
  <si>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</si>
  <si>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</si>
  <si>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</si>
  <si>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</si>
  <si>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</si>
  <si>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</si>
  <si>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</si>
  <si>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</si>
  <si>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</si>
  <si>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</si>
  <si>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</si>
  <si>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</si>
  <si>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</si>
  <si>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</si>
  <si>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</si>
  <si>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</si>
  <si>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</si>
  <si>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</si>
  <si>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</si>
  <si>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</si>
  <si>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</si>
  <si>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</si>
  <si>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</si>
  <si>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</si>
  <si>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</si>
  <si>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</si>
  <si>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</si>
  <si>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</si>
  <si>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</si>
  <si>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</si>
  <si>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</si>
  <si>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</si>
  <si>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</si>
  <si>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</si>
  <si>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</si>
  <si>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</si>
  <si>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</si>
  <si>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</si>
  <si>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</si>
  <si>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</si>
  <si>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</si>
  <si>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</si>
  <si>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</si>
  <si>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</si>
  <si>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</si>
  <si>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</si>
  <si>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</si>
  <si>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</si>
  <si>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</si>
  <si>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</si>
  <si>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</si>
  <si>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</si>
  <si>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</si>
  <si>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</si>
  <si>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</si>
  <si>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</si>
  <si>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</si>
  <si>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</si>
  <si>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</si>
  <si>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</si>
  <si>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</si>
  <si>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</si>
  <si>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</si>
  <si>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</si>
  <si>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</si>
  <si>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</si>
  <si>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</si>
  <si>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</si>
  <si>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</si>
  <si>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</si>
  <si>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</si>
  <si>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</si>
  <si>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</si>
  <si>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</si>
  <si>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</si>
  <si>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</si>
  <si>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</si>
  <si>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</si>
  <si>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</si>
  <si>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</si>
  <si>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</si>
  <si>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</si>
  <si>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</si>
  <si>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</si>
  <si>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</si>
  <si>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</si>
  <si>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</si>
  <si>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</si>
  <si>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</si>
  <si>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</si>
  <si>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</si>
  <si>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</si>
  <si>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</si>
  <si>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</si>
  <si>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</si>
  <si>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</si>
  <si>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</si>
  <si>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</si>
  <si>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</si>
  <si>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</si>
  <si>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</si>
  <si>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</si>
  <si>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</si>
  <si>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</si>
  <si>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</si>
  <si>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</si>
  <si>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</si>
  <si>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</si>
  <si>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</si>
  <si>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</si>
  <si>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</si>
  <si>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</si>
  <si>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</si>
  <si>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</si>
  <si>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</si>
  <si>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</si>
  <si>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</si>
  <si>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</si>
  <si>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</si>
  <si>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</si>
  <si>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</si>
  <si>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</si>
  <si>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</si>
  <si>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</si>
  <si>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</si>
  <si>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</si>
  <si>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</si>
  <si>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</si>
  <si>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</si>
  <si>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</si>
  <si>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</si>
  <si>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</si>
  <si>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</si>
  <si>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</si>
  <si>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</si>
  <si>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</si>
  <si>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</si>
  <si>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</si>
  <si>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</si>
  <si>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</si>
  <si>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</si>
  <si>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</si>
  <si>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</si>
  <si>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</si>
  <si>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</si>
  <si>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</si>
  <si>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</si>
  <si>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</si>
  <si>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</si>
  <si>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</si>
  <si>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</si>
  <si>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</si>
  <si>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</si>
  <si>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</si>
  <si>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</si>
  <si>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</si>
  <si>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</si>
  <si>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</si>
  <si>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</si>
  <si>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</si>
  <si>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</si>
  <si>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</si>
  <si>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</si>
  <si>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</si>
  <si>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</si>
  <si>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</si>
  <si>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</si>
  <si>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</si>
  <si>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</si>
  <si>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</si>
  <si>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</si>
  <si>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</si>
  <si>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</si>
  <si>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</si>
  <si>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</si>
  <si>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</si>
  <si>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</si>
  <si>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</si>
  <si>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</si>
  <si>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</si>
  <si>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</si>
  <si>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</si>
  <si>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</si>
  <si>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</si>
  <si>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</si>
  <si>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</si>
  <si>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</si>
  <si>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</si>
  <si>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</si>
  <si>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</si>
  <si>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</si>
  <si>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</si>
  <si>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</si>
  <si>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</si>
  <si>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</si>
  <si>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</si>
  <si>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</si>
  <si>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</si>
  <si>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</si>
  <si>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</si>
  <si>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</si>
  <si>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</si>
  <si>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</si>
  <si>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</si>
  <si>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</si>
  <si>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</si>
  <si>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</si>
  <si>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</si>
  <si>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</si>
  <si>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</si>
  <si>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</si>
  <si>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</si>
  <si>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</si>
  <si>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</si>
  <si>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</si>
  <si>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</si>
  <si>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</si>
  <si>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</si>
  <si>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</si>
  <si>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</si>
  <si>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</si>
  <si>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</si>
  <si>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</si>
  <si>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</si>
  <si>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</si>
  <si>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</si>
  <si>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</si>
  <si>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</si>
  <si>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</si>
  <si>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</si>
  <si>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</si>
  <si>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</si>
  <si>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</si>
  <si>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</si>
  <si>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</si>
  <si>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</si>
  <si>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</si>
  <si>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</si>
  <si>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</si>
  <si>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</si>
  <si>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</si>
  <si>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</si>
  <si>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</si>
  <si>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</si>
  <si>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</si>
  <si>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</si>
  <si>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</si>
  <si>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</si>
  <si>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</si>
  <si>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</si>
  <si>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</si>
  <si>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</si>
  <si>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</si>
  <si>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</si>
  <si>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</si>
  <si>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</si>
  <si>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</si>
  <si>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</si>
  <si>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</si>
  <si>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</si>
  <si>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</si>
  <si>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</si>
  <si>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</si>
  <si>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</si>
  <si>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</si>
  <si>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</si>
  <si>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</si>
  <si>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</si>
  <si>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</si>
  <si>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</si>
  <si>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</si>
  <si>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</si>
  <si>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</si>
  <si>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</si>
  <si>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</si>
  <si>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</si>
  <si>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</si>
  <si>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</si>
  <si>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</si>
  <si>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</si>
  <si>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</si>
  <si>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</si>
  <si>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</si>
  <si>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</si>
  <si>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</si>
  <si>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</si>
  <si>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</si>
  <si>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</si>
  <si>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</si>
  <si>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</si>
  <si>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</si>
  <si>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</si>
  <si>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</si>
  <si>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</si>
  <si>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</si>
  <si>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</si>
  <si>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</si>
  <si>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</si>
  <si>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</si>
  <si>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</si>
  <si>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</si>
  <si>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</si>
  <si>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</si>
  <si>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</si>
  <si>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</si>
  <si>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</si>
  <si>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</si>
  <si>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</si>
  <si>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</si>
  <si>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</si>
  <si>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</si>
  <si>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</si>
  <si>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</si>
  <si>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</si>
  <si>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</si>
  <si>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</si>
  <si>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</si>
  <si>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</si>
  <si>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</si>
  <si>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</si>
  <si>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</si>
  <si>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</si>
  <si>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</si>
  <si>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</si>
  <si>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</si>
  <si>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</si>
  <si>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</si>
  <si>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</si>
  <si>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</si>
  <si>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</si>
  <si>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</si>
  <si>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</si>
  <si>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</si>
  <si>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</si>
  <si>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</si>
  <si>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</si>
  <si>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</si>
  <si>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</si>
  <si>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</si>
  <si>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</si>
  <si>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</si>
  <si>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</si>
  <si>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</si>
  <si>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</si>
  <si>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</si>
  <si>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</si>
  <si>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</si>
  <si>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</si>
  <si>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</si>
  <si>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</si>
  <si>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</si>
  <si>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</si>
  <si>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</si>
  <si>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</si>
  <si>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</si>
  <si>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</si>
  <si>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</si>
  <si>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</si>
  <si>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</si>
  <si>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</si>
  <si>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</si>
  <si>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</si>
  <si>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</si>
  <si>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</si>
  <si>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</si>
  <si>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</si>
  <si>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</si>
  <si>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</si>
  <si>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</si>
  <si>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</si>
  <si>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</si>
  <si>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</si>
  <si>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</si>
  <si>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</si>
  <si>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</si>
  <si>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</si>
  <si>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</si>
  <si>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</si>
  <si>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</si>
  <si>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</si>
  <si>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</si>
  <si>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</si>
  <si>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</si>
  <si>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</si>
  <si>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</si>
  <si>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</si>
  <si>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</si>
  <si>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</si>
  <si>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</si>
  <si>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</si>
  <si>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</si>
  <si>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</si>
  <si>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</si>
  <si>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</si>
  <si>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</si>
  <si>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</si>
  <si>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</si>
  <si>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</si>
  <si>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</si>
  <si>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</si>
  <si>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</si>
  <si>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</si>
  <si>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</si>
  <si>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</si>
  <si>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</si>
  <si>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</si>
  <si>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</si>
  <si>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</si>
  <si>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</si>
  <si>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</si>
  <si>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</si>
  <si>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</si>
  <si>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</si>
  <si>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</si>
  <si>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</si>
  <si>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</si>
  <si>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</si>
  <si>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</si>
  <si>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</si>
  <si>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</si>
  <si>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</si>
  <si>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</si>
  <si>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</si>
  <si>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</si>
  <si>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</si>
  <si>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</si>
  <si>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</si>
  <si>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</si>
  <si>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</si>
  <si>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</si>
  <si>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</si>
  <si>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</si>
  <si>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</si>
  <si>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</si>
  <si>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</si>
  <si>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</si>
  <si>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</si>
  <si>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</si>
  <si>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</si>
  <si>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</si>
  <si>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</si>
  <si>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</si>
  <si>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</si>
  <si>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</si>
  <si>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</si>
  <si>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</si>
  <si>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</si>
  <si>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</si>
  <si>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</si>
  <si>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</si>
  <si>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</si>
  <si>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</si>
  <si>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</si>
  <si>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</si>
  <si>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</si>
  <si>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</si>
  <si>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</si>
  <si>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</si>
  <si>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</si>
  <si>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</si>
  <si>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</si>
  <si>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</si>
  <si>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</si>
  <si>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</si>
  <si>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</si>
  <si>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</si>
  <si>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</si>
  <si>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</si>
  <si>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</si>
  <si>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</si>
  <si>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</si>
  <si>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</si>
  <si>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</si>
  <si>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</si>
  <si>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</si>
  <si>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</si>
  <si>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</si>
  <si>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</si>
  <si>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</si>
  <si>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</si>
  <si>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</si>
  <si>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</si>
  <si>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</si>
  <si>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</si>
  <si>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</si>
  <si>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</si>
  <si>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</si>
  <si>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</si>
  <si>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</si>
  <si>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</si>
  <si>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</si>
  <si>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</si>
  <si>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</si>
  <si>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</si>
  <si>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</si>
  <si>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</si>
  <si>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</si>
  <si>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</si>
  <si>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</si>
  <si>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</si>
  <si>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</si>
  <si>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</si>
  <si>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</si>
  <si>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</si>
  <si>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</si>
  <si>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</si>
  <si>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</si>
  <si>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</si>
  <si>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</si>
  <si>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</si>
  <si>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</si>
  <si>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</si>
  <si>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</si>
  <si>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</si>
  <si>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</si>
  <si>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</si>
  <si>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</si>
  <si>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</si>
  <si>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</si>
  <si>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</si>
  <si>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</si>
  <si>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</si>
  <si>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</si>
  <si>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</si>
  <si>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</si>
  <si>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</si>
  <si>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</si>
  <si>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</si>
  <si>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</si>
  <si>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</si>
  <si>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</si>
  <si>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</si>
  <si>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</si>
  <si>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</si>
  <si>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</si>
  <si>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</si>
  <si>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</si>
  <si>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</si>
  <si>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</si>
  <si>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</si>
  <si>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</si>
  <si>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</si>
  <si>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</si>
  <si>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</si>
  <si>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</si>
  <si>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</si>
  <si>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</si>
  <si>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</si>
  <si>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</si>
  <si>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</si>
  <si>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</si>
  <si>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</si>
  <si>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</si>
  <si>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</si>
  <si>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</si>
  <si>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</si>
  <si>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</si>
  <si>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</si>
  <si>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</si>
  <si>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</si>
  <si>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</si>
  <si>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</si>
  <si>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</si>
  <si>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</si>
  <si>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</si>
  <si>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</si>
  <si>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</si>
  <si>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</si>
  <si>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</si>
  <si>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</si>
  <si>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</si>
  <si>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</si>
  <si>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</si>
  <si>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</si>
  <si>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</si>
  <si>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</si>
  <si>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</si>
  <si>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</si>
  <si>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</si>
  <si>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</si>
  <si>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</si>
  <si>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</si>
  <si>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</si>
  <si>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</si>
  <si>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</si>
  <si>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</si>
  <si>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</si>
  <si>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</si>
  <si>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</si>
  <si>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</si>
  <si>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</si>
  <si>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</si>
  <si>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</si>
  <si>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</si>
  <si>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</si>
  <si>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</si>
  <si>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</si>
  <si>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</si>
  <si>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</si>
  <si>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</si>
  <si>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</si>
  <si>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</si>
  <si>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</si>
  <si>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</si>
  <si>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</si>
  <si>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</si>
  <si>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</si>
  <si>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</si>
  <si>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</si>
  <si>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</si>
  <si>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</si>
  <si>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</si>
  <si>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</si>
  <si>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</si>
  <si>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</si>
  <si>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</si>
  <si>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</si>
  <si>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</si>
  <si>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</si>
  <si>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</si>
  <si>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</si>
  <si>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</si>
  <si>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</si>
  <si>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</si>
  <si>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</si>
  <si>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</si>
  <si>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</si>
  <si>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</si>
  <si>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</si>
  <si>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</si>
  <si>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</si>
  <si>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</si>
  <si>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</si>
  <si>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</si>
  <si>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</si>
  <si>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</si>
  <si>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</si>
  <si>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</si>
  <si>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</si>
  <si>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</si>
  <si>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</si>
  <si>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</si>
  <si>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</si>
  <si>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</si>
  <si>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</si>
  <si>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</si>
  <si>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</si>
  <si>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</si>
  <si>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</si>
  <si>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</si>
  <si>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</si>
  <si>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</si>
  <si>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</si>
  <si>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</si>
  <si>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</si>
  <si>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</si>
  <si>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</si>
  <si>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</si>
  <si>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</si>
  <si>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</si>
  <si>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</si>
  <si>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</si>
  <si>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</si>
  <si>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</si>
  <si>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</si>
  <si>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</si>
  <si>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</si>
  <si>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</si>
  <si>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</si>
  <si>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</si>
  <si>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</si>
  <si>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</si>
  <si>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</si>
  <si>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</si>
  <si>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</si>
  <si>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</si>
  <si>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</si>
  <si>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</si>
  <si>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</si>
  <si>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</si>
  <si>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</si>
  <si>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</si>
  <si>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</si>
  <si>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</si>
  <si>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</si>
  <si>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</si>
  <si>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</si>
  <si>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</si>
  <si>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</si>
  <si>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</si>
  <si>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</si>
  <si>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</si>
  <si>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</si>
  <si>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</si>
  <si>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</si>
  <si>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</si>
  <si>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</si>
  <si>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</si>
  <si>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</si>
  <si>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</si>
  <si>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</si>
  <si>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</si>
  <si>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</si>
  <si>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</si>
  <si>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</si>
  <si>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</si>
  <si>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</si>
  <si>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</si>
  <si>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</si>
  <si>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</si>
  <si>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</si>
  <si>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</si>
  <si>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</si>
  <si>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</si>
  <si>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</si>
  <si>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</si>
  <si>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</si>
  <si>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</si>
  <si>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</si>
  <si>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</si>
  <si>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</si>
  <si>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</si>
  <si>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</si>
  <si>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</si>
  <si>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</si>
  <si>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</si>
  <si>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</si>
  <si>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</si>
  <si>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</si>
  <si>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</si>
  <si>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</si>
  <si>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</si>
  <si>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</si>
  <si>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</si>
  <si>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</si>
  <si>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</si>
  <si>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</si>
  <si>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</si>
  <si>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</si>
  <si>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</si>
  <si>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</si>
  <si>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</si>
  <si>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</si>
  <si>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</si>
  <si>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</si>
  <si>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</si>
  <si>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</si>
  <si>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</si>
  <si>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</si>
  <si>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</si>
  <si>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</si>
  <si>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</si>
  <si>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</si>
  <si>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</si>
  <si>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</si>
  <si>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</si>
  <si>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</si>
  <si>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</si>
  <si>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</si>
  <si>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</si>
  <si>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</si>
  <si>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</si>
  <si>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</si>
  <si>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</si>
  <si>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</si>
  <si>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</si>
  <si>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</si>
  <si>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</si>
  <si>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</si>
  <si>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</si>
  <si>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</si>
  <si>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E Smith Contractors, LLC</t>
  </si>
  <si>
    <t>731 James Street Suit # 223A  Syrcuse , NY 13203</t>
  </si>
  <si>
    <t>Shayna Copes</t>
  </si>
  <si>
    <t>Comptroller</t>
  </si>
  <si>
    <t>Drywall and Ceiling Tile Installers</t>
  </si>
  <si>
    <t>47-8081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</si>
</sst>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304800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25</xdr:col>
          <xdr:colOff>514350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N22" sqref="N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3.140625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43259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/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2</v>
      </c>
      <c r="G22" s="96">
        <f>40+16+40+37+40+40</f>
        <v>213</v>
      </c>
      <c r="H22" s="94">
        <f>454.04+199.32+454.03+1299.03+454.04+1388.47</f>
        <v>4248.93</v>
      </c>
      <c r="I22" s="96"/>
      <c r="J22" s="96"/>
      <c r="K22" s="94"/>
      <c r="L22" s="97">
        <v>1</v>
      </c>
      <c r="M22" s="97">
        <f>38+12+40</f>
        <v>90</v>
      </c>
      <c r="N22" s="116">
        <f>452.12+1641.43+1312.63</f>
        <v>3406.1800000000003</v>
      </c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213</v>
      </c>
      <c r="H39" s="113">
        <f>SUM(H22:H37)</f>
        <v>4248.93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90</v>
      </c>
      <c r="N39" s="113">
        <f>SUM(N22:N37)</f>
        <v>3406.1800000000003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304800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25</xdr:col>
                    <xdr:colOff>514350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SoGone</cp:lastModifiedBy>
  <cp:lastPrinted>2018-03-13T18:31:28Z</cp:lastPrinted>
  <dcterms:created xsi:type="dcterms:W3CDTF">2016-01-07T15:16:02Z</dcterms:created>
  <dcterms:modified xsi:type="dcterms:W3CDTF">2018-06-11T17:09:29Z</dcterms:modified>
</cp:coreProperties>
</file>