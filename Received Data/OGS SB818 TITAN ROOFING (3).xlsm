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0256" windowHeight="1269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'!$C$2:$AI$41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<sst xmlns="http://schemas.openxmlformats.org/spreadsheetml/2006/main" count="2109" uniqueCount="1847">
  <si>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</si>
  <si>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</si>
  <si>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</si>
  <si>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</si>
  <si>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</si>
  <si>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</si>
  <si>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</si>
  <si>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</si>
  <si>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</si>
  <si>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</si>
  <si>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</si>
  <si>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</si>
  <si>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</si>
  <si>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</si>
  <si>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</si>
  <si>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</si>
  <si>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</si>
  <si>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</si>
  <si>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</si>
  <si>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</si>
  <si>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</si>
  <si>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</si>
  <si>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</si>
  <si>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</si>
  <si>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</si>
  <si>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</si>
  <si>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</si>
  <si>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</si>
  <si>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</si>
  <si>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</si>
  <si>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</si>
  <si>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</si>
  <si>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</si>
  <si>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</si>
  <si>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</si>
  <si>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</si>
  <si>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</si>
  <si>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</si>
  <si>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</si>
  <si>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</si>
  <si>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</si>
  <si>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</si>
  <si>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</si>
  <si>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</si>
  <si>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</si>
  <si>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</si>
  <si>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</si>
  <si>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</si>
  <si>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</si>
  <si>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</si>
  <si>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</si>
  <si>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</si>
  <si>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</si>
  <si>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</si>
  <si>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</si>
  <si>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</si>
  <si>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</si>
  <si>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</si>
  <si>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</si>
  <si>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</si>
  <si>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</si>
  <si>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</si>
  <si>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</si>
  <si>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</si>
  <si>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</si>
  <si>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</si>
  <si>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</si>
  <si>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</si>
  <si>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</si>
  <si>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</si>
  <si>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</si>
  <si>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</si>
  <si>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</si>
  <si>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</si>
  <si>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</si>
  <si>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</si>
  <si>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</si>
  <si>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</si>
  <si>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</si>
  <si>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</si>
  <si>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</si>
  <si>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</si>
  <si>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</si>
  <si>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</si>
  <si>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</si>
  <si>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</si>
  <si>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</si>
  <si>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</si>
  <si>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</si>
  <si>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</si>
  <si>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</si>
  <si>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</si>
  <si>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</si>
  <si>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</si>
  <si>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</si>
  <si>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</si>
  <si>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</si>
  <si>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</si>
  <si>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</si>
  <si>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</si>
  <si>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</si>
  <si>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</si>
  <si>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</si>
  <si>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</si>
  <si>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</si>
  <si>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</si>
  <si>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</si>
  <si>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</si>
  <si>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</si>
  <si>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</si>
  <si>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</si>
  <si>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</si>
  <si>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</si>
  <si>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</si>
  <si>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</si>
  <si>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</si>
  <si>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</si>
  <si>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</si>
  <si>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</si>
  <si>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</si>
  <si>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</si>
  <si>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</si>
  <si>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</si>
  <si>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</si>
  <si>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</si>
  <si>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</si>
  <si>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</si>
  <si>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</si>
  <si>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</si>
  <si>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</si>
  <si>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</si>
  <si>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</si>
  <si>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</si>
  <si>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</si>
  <si>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</si>
  <si>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</si>
  <si>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</si>
  <si>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</si>
  <si>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</si>
  <si>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</si>
  <si>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</si>
  <si>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</si>
  <si>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</si>
  <si>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</si>
  <si>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</si>
  <si>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</si>
  <si>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</si>
  <si>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</si>
  <si>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</si>
  <si>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</si>
  <si>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</si>
  <si>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</si>
  <si>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</si>
  <si>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</si>
  <si>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</si>
  <si>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</si>
  <si>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</si>
  <si>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</si>
  <si>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</si>
  <si>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</si>
  <si>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</si>
  <si>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</si>
  <si>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</si>
  <si>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</si>
  <si>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</si>
  <si>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</si>
  <si>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</si>
  <si>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</si>
  <si>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</si>
  <si>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</si>
  <si>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</si>
  <si>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</si>
  <si>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</si>
  <si>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</si>
  <si>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</si>
  <si>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</si>
  <si>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</si>
  <si>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</si>
  <si>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</si>
  <si>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</si>
  <si>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</si>
  <si>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</si>
  <si>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</si>
  <si>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</si>
  <si>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</si>
  <si>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</si>
  <si>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</si>
  <si>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</si>
  <si>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</si>
  <si>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</si>
  <si>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</si>
  <si>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</si>
  <si>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</si>
  <si>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</si>
  <si>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</si>
  <si>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</si>
  <si>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</si>
  <si>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</si>
  <si>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</si>
  <si>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</si>
  <si>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</si>
  <si>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</si>
  <si>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</si>
  <si>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</si>
  <si>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</si>
  <si>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</si>
  <si>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</si>
  <si>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</si>
  <si>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</si>
  <si>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</si>
  <si>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</si>
  <si>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</si>
  <si>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</si>
  <si>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</si>
  <si>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</si>
  <si>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</si>
  <si>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</si>
  <si>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</si>
  <si>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</si>
  <si>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</si>
  <si>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</si>
  <si>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</si>
  <si>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</si>
  <si>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</si>
  <si>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</si>
  <si>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</si>
  <si>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</si>
  <si>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</si>
  <si>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</si>
  <si>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</si>
  <si>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</si>
  <si>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</si>
  <si>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</si>
  <si>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</si>
  <si>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</si>
  <si>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</si>
  <si>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</si>
  <si>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</si>
  <si>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</si>
  <si>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</si>
  <si>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</si>
  <si>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</si>
  <si>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</si>
  <si>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</si>
  <si>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</si>
  <si>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</si>
  <si>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</si>
  <si>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</si>
  <si>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</si>
  <si>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</si>
  <si>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</si>
  <si>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</si>
  <si>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</si>
  <si>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</si>
  <si>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</si>
  <si>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</si>
  <si>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</si>
  <si>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</si>
  <si>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</si>
  <si>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</si>
  <si>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</si>
  <si>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</si>
  <si>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</si>
  <si>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</si>
  <si>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</si>
  <si>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</si>
  <si>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</si>
  <si>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</si>
  <si>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</si>
  <si>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</si>
  <si>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</si>
  <si>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</si>
  <si>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</si>
  <si>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</si>
  <si>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</si>
  <si>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</si>
  <si>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</si>
  <si>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</si>
  <si>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</si>
  <si>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</si>
  <si>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</si>
  <si>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</si>
  <si>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</si>
  <si>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</si>
  <si>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</si>
  <si>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</si>
  <si>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</si>
  <si>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</si>
  <si>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</si>
  <si>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</si>
  <si>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</si>
  <si>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</si>
  <si>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</si>
  <si>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</si>
  <si>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</si>
  <si>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</si>
  <si>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</si>
  <si>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</si>
  <si>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</si>
  <si>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</si>
  <si>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</si>
  <si>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</si>
  <si>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</si>
  <si>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</si>
  <si>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</si>
  <si>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</si>
  <si>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</si>
  <si>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</si>
  <si>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</si>
  <si>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</si>
  <si>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</si>
  <si>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</si>
  <si>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</si>
  <si>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</si>
  <si>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</si>
  <si>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</si>
  <si>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</si>
  <si>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</si>
  <si>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</si>
  <si>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</si>
  <si>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</si>
  <si>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</si>
  <si>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</si>
  <si>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</si>
  <si>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</si>
  <si>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</si>
  <si>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</si>
  <si>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</si>
  <si>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</si>
  <si>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</si>
  <si>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</si>
  <si>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</si>
  <si>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</si>
  <si>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</si>
  <si>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</si>
  <si>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</si>
  <si>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</si>
  <si>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</si>
  <si>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</si>
  <si>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</si>
  <si>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</si>
  <si>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</si>
  <si>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</si>
  <si>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</si>
  <si>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</si>
  <si>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</si>
  <si>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</si>
  <si>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</si>
  <si>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</si>
  <si>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</si>
  <si>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</si>
  <si>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</si>
  <si>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</si>
  <si>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</si>
  <si>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</si>
  <si>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</si>
  <si>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</si>
  <si>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</si>
  <si>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</si>
  <si>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</si>
  <si>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</si>
  <si>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</si>
  <si>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</si>
  <si>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</si>
  <si>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</si>
  <si>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</si>
  <si>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</si>
  <si>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</si>
  <si>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</si>
  <si>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</si>
  <si>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</si>
  <si>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</si>
  <si>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</si>
  <si>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</si>
  <si>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</si>
  <si>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</si>
  <si>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</si>
  <si>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</si>
  <si>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</si>
  <si>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</si>
  <si>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</si>
  <si>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</si>
  <si>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</si>
  <si>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</si>
  <si>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</si>
  <si>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</si>
  <si>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</si>
  <si>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</si>
  <si>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</si>
  <si>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</si>
  <si>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</si>
  <si>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</si>
  <si>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</si>
  <si>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</si>
  <si>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</si>
  <si>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</si>
  <si>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</si>
  <si>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</si>
  <si>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</si>
  <si>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</si>
  <si>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</si>
  <si>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</si>
  <si>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</si>
  <si>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</si>
  <si>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</si>
  <si>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</si>
  <si>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</si>
  <si>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</si>
  <si>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</si>
  <si>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</si>
  <si>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</si>
  <si>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</si>
  <si>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</si>
  <si>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</si>
  <si>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</si>
  <si>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</si>
  <si>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</si>
  <si>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</si>
  <si>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</si>
  <si>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</si>
  <si>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</si>
  <si>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</si>
  <si>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</si>
  <si>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</si>
  <si>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</si>
  <si>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</si>
  <si>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</si>
  <si>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</si>
  <si>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</si>
  <si>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</si>
  <si>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</si>
  <si>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</si>
  <si>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</si>
  <si>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</si>
  <si>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</si>
  <si>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</si>
  <si>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</si>
  <si>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</si>
  <si>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</si>
  <si>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</si>
  <si>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</si>
  <si>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</si>
  <si>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</si>
  <si>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</si>
  <si>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</si>
  <si>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</si>
  <si>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</si>
  <si>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</si>
  <si>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</si>
  <si>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</si>
  <si>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</si>
  <si>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</si>
  <si>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</si>
  <si>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</si>
  <si>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</si>
  <si>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</si>
  <si>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</si>
  <si>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</si>
  <si>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</si>
  <si>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</si>
  <si>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</si>
  <si>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</si>
  <si>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</si>
  <si>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</si>
  <si>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</si>
  <si>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</si>
  <si>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</si>
  <si>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</si>
  <si>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</si>
  <si>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</si>
  <si>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</si>
  <si>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</si>
  <si>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</si>
  <si>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</si>
  <si>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</si>
  <si>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</si>
  <si>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</si>
  <si>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</si>
  <si>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</si>
  <si>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</si>
  <si>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</si>
  <si>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</si>
  <si>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</si>
  <si>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</si>
  <si>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</si>
  <si>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</si>
  <si>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</si>
  <si>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</si>
  <si>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</si>
  <si>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</si>
  <si>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</si>
  <si>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</si>
  <si>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</si>
  <si>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</si>
  <si>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</si>
  <si>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</si>
  <si>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</si>
  <si>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</si>
  <si>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</si>
  <si>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</si>
  <si>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</si>
  <si>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</si>
  <si>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</si>
  <si>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</si>
  <si>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</si>
  <si>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</si>
  <si>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</si>
  <si>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</si>
  <si>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</si>
  <si>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</si>
  <si>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</si>
  <si>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</si>
  <si>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</si>
  <si>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</si>
  <si>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</si>
  <si>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</si>
  <si>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</si>
  <si>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</si>
  <si>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</si>
  <si>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</si>
  <si>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</si>
  <si>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</si>
  <si>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</si>
  <si>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</si>
  <si>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</si>
  <si>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</si>
  <si>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</si>
  <si>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</si>
  <si>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</si>
  <si>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</si>
  <si>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</si>
  <si>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</si>
  <si>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</si>
  <si>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</si>
  <si>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</si>
  <si>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</si>
  <si>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</si>
  <si>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</si>
  <si>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</si>
  <si>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</si>
  <si>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</si>
  <si>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</si>
  <si>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</si>
  <si>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</si>
  <si>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</si>
  <si>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</si>
  <si>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</si>
  <si>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</si>
  <si>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</si>
  <si>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</si>
  <si>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</si>
  <si>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</si>
  <si>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</si>
  <si>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</si>
  <si>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</si>
  <si>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</si>
  <si>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</si>
  <si>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</si>
  <si>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</si>
  <si>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</si>
  <si>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</si>
  <si>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</si>
  <si>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</si>
  <si>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</si>
  <si>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</si>
  <si>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</si>
  <si>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</si>
  <si>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</si>
  <si>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</si>
  <si>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</si>
  <si>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</si>
  <si>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</si>
  <si>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</si>
  <si>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</si>
  <si>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</si>
  <si>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</si>
  <si>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</si>
  <si>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</si>
  <si>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</si>
  <si>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</si>
  <si>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</si>
  <si>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</si>
  <si>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</si>
  <si>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</si>
  <si>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</si>
  <si>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</si>
  <si>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</si>
  <si>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</si>
  <si>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</si>
  <si>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</si>
  <si>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</si>
  <si>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</si>
  <si>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</si>
  <si>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</si>
  <si>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</si>
  <si>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</si>
  <si>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</si>
  <si>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</si>
  <si>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</si>
  <si>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</si>
  <si>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</si>
  <si>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</si>
  <si>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</si>
  <si>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</si>
  <si>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</si>
  <si>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</si>
  <si>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</si>
  <si>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</si>
  <si>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</si>
  <si>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</si>
  <si>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</si>
  <si>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</si>
  <si>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</si>
  <si>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</si>
  <si>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</si>
  <si>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</si>
  <si>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</si>
  <si>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</si>
  <si>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</si>
  <si>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</si>
  <si>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</si>
  <si>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</si>
  <si>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</si>
  <si>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</si>
  <si>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</si>
  <si>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</si>
  <si>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</si>
  <si>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</si>
  <si>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</si>
  <si>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</si>
  <si>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</si>
  <si>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</si>
  <si>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</si>
  <si>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</si>
  <si>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</si>
  <si>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</si>
  <si>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</si>
  <si>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</si>
  <si>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</si>
  <si>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</si>
  <si>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</si>
  <si>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</si>
  <si>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</si>
  <si>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</si>
  <si>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</si>
  <si>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</si>
  <si>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</si>
  <si>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</si>
  <si>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</si>
  <si>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</si>
  <si>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</si>
  <si>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</si>
  <si>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</si>
  <si>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</si>
  <si>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</si>
  <si>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</si>
  <si>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</si>
  <si>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</si>
  <si>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</si>
  <si>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</si>
  <si>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</si>
  <si>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</si>
  <si>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</si>
  <si>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</si>
  <si>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</si>
  <si>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</si>
  <si>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</si>
  <si>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</si>
  <si>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</si>
  <si>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</si>
  <si>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</si>
  <si>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</si>
  <si>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</si>
  <si>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</si>
  <si>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</si>
  <si>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</si>
  <si>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</si>
  <si>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</si>
  <si>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</si>
  <si>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</si>
  <si>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</si>
  <si>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</si>
  <si>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</si>
  <si>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</si>
  <si>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</si>
  <si>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</si>
  <si>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</si>
  <si>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</si>
  <si>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</si>
  <si>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</si>
  <si>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</si>
  <si>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</si>
  <si>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</si>
  <si>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</si>
  <si>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</si>
  <si>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</si>
  <si>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</si>
  <si>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</si>
  <si>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</si>
  <si>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</si>
  <si>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</si>
  <si>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</si>
  <si>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</si>
  <si>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</si>
  <si>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</si>
  <si>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</si>
  <si>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</si>
  <si>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</si>
  <si>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</si>
  <si>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</si>
  <si>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</si>
  <si>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</si>
  <si>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</si>
  <si>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</si>
  <si>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</si>
  <si>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</si>
  <si>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</si>
  <si>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</si>
  <si>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</si>
  <si>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</si>
  <si>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</si>
  <si>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</si>
  <si>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</si>
  <si>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</si>
  <si>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</si>
  <si>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</si>
  <si>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</si>
  <si>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</si>
  <si>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</si>
  <si>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</si>
  <si>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</si>
  <si>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</si>
  <si>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</si>
  <si>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</si>
  <si>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</si>
  <si>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</si>
  <si>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</si>
  <si>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</si>
  <si>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</si>
  <si>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</si>
  <si>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</si>
  <si>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</si>
  <si>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</si>
  <si>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</si>
  <si>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</si>
  <si>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</si>
  <si>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</si>
  <si>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</si>
  <si>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</si>
  <si>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</si>
  <si>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</si>
  <si>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</si>
  <si>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</si>
  <si>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</si>
  <si>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</si>
  <si>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</si>
  <si>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</si>
  <si>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</si>
  <si>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</si>
  <si>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</si>
  <si>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</si>
  <si>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</si>
  <si>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</si>
  <si>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</si>
  <si>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</si>
  <si>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</si>
  <si>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</si>
  <si>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</si>
  <si>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</si>
  <si>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</si>
  <si>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</si>
  <si>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</si>
  <si>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</si>
  <si>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</si>
  <si>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</si>
  <si>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</si>
  <si>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</si>
  <si>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</si>
  <si>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</si>
  <si>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</si>
  <si>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</si>
  <si>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</si>
  <si>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</si>
  <si>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</si>
  <si>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</si>
  <si>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</si>
  <si>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</si>
  <si>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</si>
  <si>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</si>
  <si>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</si>
  <si>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</si>
  <si>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</si>
  <si>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</si>
  <si>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</si>
  <si>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</si>
  <si>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</si>
  <si>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</si>
  <si>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</si>
  <si>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</si>
  <si>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</si>
  <si>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</si>
  <si>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</si>
  <si>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</si>
  <si>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</si>
  <si>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</si>
  <si>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</si>
  <si>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</si>
  <si>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</si>
  <si>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</si>
  <si>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</si>
  <si>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</si>
  <si>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</si>
  <si>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</si>
  <si>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</si>
  <si>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</si>
  <si>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</si>
  <si>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</si>
  <si>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</si>
  <si>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</si>
  <si>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</si>
  <si>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</si>
  <si>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</si>
  <si>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</si>
  <si>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</si>
  <si>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</si>
  <si>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</si>
  <si>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</si>
  <si>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</si>
  <si>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</si>
  <si>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</si>
  <si>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</si>
  <si>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</si>
  <si>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</si>
  <si>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</si>
  <si>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</si>
  <si>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</si>
  <si>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</si>
  <si>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</si>
  <si>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</si>
  <si>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</si>
  <si>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</si>
  <si>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</si>
  <si>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</si>
  <si>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</si>
  <si>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</si>
  <si>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</si>
  <si>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</si>
  <si>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</si>
  <si>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</si>
  <si>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</si>
  <si>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</si>
  <si>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</si>
  <si>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</si>
  <si>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</si>
  <si>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</si>
  <si>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</si>
  <si>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</si>
  <si>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</si>
  <si>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</si>
  <si>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</si>
  <si>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</si>
  <si>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</si>
  <si>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</si>
  <si>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</si>
  <si>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</si>
  <si>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</si>
  <si>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</si>
  <si>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</si>
  <si>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</si>
  <si>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</si>
  <si>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</si>
  <si>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</si>
  <si>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</si>
  <si>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</si>
  <si>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</si>
  <si>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</si>
  <si>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</si>
  <si>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</si>
  <si>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</si>
  <si>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</si>
  <si>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</si>
  <si>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</si>
  <si>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</si>
  <si>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</si>
  <si>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</si>
  <si>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</si>
  <si>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</si>
  <si>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</si>
  <si>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</si>
  <si>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</si>
  <si>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</si>
  <si>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</si>
  <si>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</si>
  <si>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</si>
  <si>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</si>
  <si>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</si>
  <si>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</si>
  <si>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</si>
  <si>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</si>
  <si>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</si>
  <si>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</si>
  <si>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</si>
  <si>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</si>
  <si>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</si>
  <si>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</si>
  <si>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</si>
  <si>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</si>
  <si>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</si>
  <si>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</si>
  <si>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</si>
  <si>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</si>
  <si>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</si>
  <si>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</si>
  <si>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</si>
  <si>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</si>
  <si>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</si>
  <si>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</si>
  <si>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</si>
  <si>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</si>
  <si>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</si>
  <si>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</si>
  <si>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</si>
  <si>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</si>
  <si>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</si>
  <si>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</si>
  <si>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</si>
  <si>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</si>
  <si>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</si>
  <si>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</si>
  <si>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</si>
  <si>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</si>
  <si>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</si>
  <si>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</si>
  <si>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</si>
  <si>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</si>
  <si>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</si>
  <si>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</si>
  <si>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</si>
  <si>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</si>
  <si>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</si>
  <si>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</si>
  <si>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</si>
  <si>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</si>
  <si>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</si>
  <si>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</si>
  <si>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</si>
  <si>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</si>
  <si>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</si>
  <si>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</si>
  <si>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</si>
  <si>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</si>
  <si>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</si>
  <si>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</si>
  <si>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</si>
  <si>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</si>
  <si>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</si>
  <si>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</si>
  <si>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</si>
  <si>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</si>
  <si>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</si>
  <si>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</si>
  <si>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</si>
  <si>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</si>
  <si>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</si>
  <si>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</si>
  <si>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</si>
  <si>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</si>
  <si>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</si>
  <si>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</si>
  <si>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</si>
  <si>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</si>
  <si>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</si>
  <si>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</si>
  <si>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</si>
  <si>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</si>
  <si>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</si>
  <si>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</si>
  <si>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</si>
  <si>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</si>
  <si>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</si>
  <si>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</si>
  <si>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</si>
  <si>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</si>
  <si>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</si>
  <si>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</si>
  <si>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</si>
  <si>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</si>
  <si>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</si>
  <si>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</si>
  <si>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</si>
  <si>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</si>
  <si>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</si>
  <si>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</si>
  <si>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</si>
  <si>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</si>
  <si>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</si>
  <si>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</si>
  <si>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</si>
  <si>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</si>
  <si>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</si>
  <si>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</si>
  <si>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</si>
  <si>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</si>
  <si>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</si>
  <si>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</si>
  <si>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</si>
  <si>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</si>
  <si>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</si>
  <si>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</si>
  <si>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</si>
  <si>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</si>
  <si>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</si>
  <si>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</si>
  <si>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</si>
  <si>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</si>
  <si>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</si>
  <si>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</si>
  <si>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</si>
  <si>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</si>
  <si>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</si>
  <si>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</si>
  <si>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</si>
  <si>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</si>
  <si>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</si>
  <si>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</si>
  <si>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</si>
  <si>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</si>
  <si>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</si>
  <si>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</si>
  <si>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</si>
  <si>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</si>
  <si>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</si>
  <si>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</si>
  <si>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</si>
  <si>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</si>
  <si>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</si>
  <si>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</si>
  <si>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</si>
  <si>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</si>
  <si>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</si>
  <si>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</si>
  <si>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</si>
  <si>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</si>
  <si>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</si>
  <si>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</si>
  <si>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</si>
  <si>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</si>
  <si>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</si>
  <si>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</si>
  <si>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</si>
  <si>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</si>
  <si>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</si>
  <si>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</si>
  <si>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</si>
  <si>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</si>
  <si>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</si>
  <si>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</si>
  <si>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</si>
  <si>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</si>
  <si>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</si>
  <si>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</si>
  <si>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</si>
  <si>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</si>
  <si>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</si>
  <si>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</si>
  <si>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</si>
  <si>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</si>
  <si>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</si>
  <si>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</si>
  <si>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</si>
  <si>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</si>
  <si>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</si>
  <si>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</si>
  <si>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</si>
  <si>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</si>
  <si>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</si>
  <si>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</si>
  <si>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</si>
  <si>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</si>
  <si>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</si>
  <si>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</si>
  <si>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</si>
  <si>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</si>
  <si>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</si>
  <si>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</si>
  <si>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</si>
  <si>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</si>
  <si>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</si>
  <si>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</si>
  <si>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</si>
  <si>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</si>
  <si>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</si>
  <si>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</si>
  <si>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</si>
  <si>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</si>
  <si>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</si>
  <si>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</si>
  <si>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</si>
  <si>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</si>
  <si>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</si>
  <si>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</si>
  <si>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</si>
  <si>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</si>
  <si>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</si>
  <si>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</si>
  <si>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</si>
  <si>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</si>
  <si>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</si>
  <si>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</si>
  <si>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</si>
  <si>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</si>
  <si>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</si>
  <si>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</si>
  <si>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</si>
  <si>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</si>
  <si>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</si>
  <si>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</si>
  <si>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</si>
  <si>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</si>
  <si>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</si>
  <si>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</si>
  <si>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</si>
  <si>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</si>
  <si>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</si>
  <si>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</si>
  <si>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</si>
  <si>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</si>
  <si>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</si>
  <si>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</si>
  <si>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</si>
  <si>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</si>
  <si>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</si>
  <si>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</si>
  <si>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</si>
  <si>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</si>
  <si>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</si>
  <si>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</si>
  <si>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</si>
  <si>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</si>
  <si>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</si>
  <si>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</si>
  <si>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</si>
  <si>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</si>
  <si>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</si>
  <si>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</si>
  <si>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</si>
  <si>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</si>
  <si>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</si>
  <si>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</si>
  <si>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</si>
  <si>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</si>
  <si>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</si>
  <si>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</si>
  <si>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</si>
  <si>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</si>
  <si>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</si>
  <si>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</si>
  <si>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</si>
  <si>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</si>
  <si>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</si>
  <si>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</si>
  <si>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</si>
  <si>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</si>
  <si>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</si>
  <si>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</si>
  <si>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</si>
  <si>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</si>
  <si>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</si>
  <si>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</si>
  <si>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</si>
  <si>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</si>
  <si>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</si>
  <si>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</si>
  <si>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</si>
  <si>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</si>
  <si>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</si>
  <si>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</si>
  <si>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</si>
  <si>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</si>
  <si>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</si>
  <si>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</si>
  <si>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</si>
  <si>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</si>
  <si>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</si>
  <si>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</si>
  <si>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</si>
  <si>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</si>
  <si>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</si>
  <si>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</si>
  <si>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</si>
  <si>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</si>
  <si>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</si>
  <si>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</si>
  <si>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</si>
  <si>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</si>
  <si>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</si>
  <si>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</si>
  <si>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</si>
  <si>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</si>
  <si>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</si>
  <si>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</si>
  <si>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</si>
  <si>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</si>
  <si>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</si>
  <si>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</si>
  <si>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</si>
  <si>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</si>
  <si>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</si>
  <si>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</si>
  <si>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</si>
  <si>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</si>
  <si>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</si>
  <si>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</si>
  <si>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</si>
  <si>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</si>
  <si>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</si>
  <si>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</si>
  <si>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</si>
  <si>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</si>
  <si>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</si>
  <si>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</si>
  <si>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</si>
  <si>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</si>
  <si>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</si>
  <si>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</si>
  <si>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</si>
  <si>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</si>
  <si>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</si>
  <si>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</si>
  <si>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</si>
  <si>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</si>
  <si>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</si>
  <si>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</si>
  <si>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</si>
  <si>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</si>
  <si>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</si>
  <si>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</si>
  <si>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</si>
  <si>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</si>
  <si>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</si>
  <si>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</si>
  <si>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</si>
  <si>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</si>
  <si>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</si>
  <si>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</si>
  <si>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</si>
  <si>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</si>
  <si>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</si>
  <si>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</si>
  <si>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</si>
  <si>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</si>
  <si>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</si>
  <si>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</si>
  <si>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</si>
  <si>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</si>
  <si>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</si>
  <si>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</si>
  <si>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</si>
  <si>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</si>
  <si>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</si>
  <si>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</si>
  <si>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</si>
  <si>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</si>
  <si>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</si>
  <si>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</si>
  <si>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</si>
  <si>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</si>
  <si>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</si>
  <si>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</si>
  <si>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</si>
  <si>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</si>
  <si>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</si>
  <si>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</si>
  <si>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</si>
  <si>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</si>
  <si>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</si>
  <si>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</si>
  <si>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</si>
  <si>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</si>
  <si>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</si>
  <si>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</si>
  <si>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</si>
  <si>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</si>
  <si>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</si>
  <si>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</si>
  <si>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</si>
  <si>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</si>
  <si>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</si>
  <si>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</si>
  <si>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</si>
  <si>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</si>
  <si>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</si>
  <si>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</si>
  <si>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</si>
  <si>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</si>
  <si>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</si>
  <si>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</si>
  <si>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</si>
  <si>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</si>
  <si>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</si>
  <si>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</si>
  <si>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</si>
  <si>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</si>
  <si>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</si>
  <si>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</si>
  <si>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</si>
  <si>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</si>
  <si>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</si>
  <si>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</si>
  <si>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</si>
  <si>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</si>
  <si>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</si>
  <si>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</si>
  <si>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</si>
  <si>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</si>
  <si>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</si>
  <si>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</si>
  <si>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</si>
  <si>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</si>
  <si>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</si>
  <si>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</si>
  <si>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</si>
  <si>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</si>
  <si>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</si>
  <si>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</si>
  <si>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</si>
  <si>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</si>
  <si>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</si>
  <si>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</si>
  <si>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</si>
  <si>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</si>
  <si>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</si>
  <si>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</si>
  <si>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</si>
  <si>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</si>
  <si>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</si>
  <si>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</si>
  <si>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</si>
  <si>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</si>
  <si>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</si>
  <si>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</si>
  <si>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</si>
  <si>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</si>
  <si>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</si>
  <si>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</si>
  <si>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</si>
  <si>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</si>
  <si>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</si>
  <si>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</si>
  <si>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</si>
  <si>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</si>
  <si>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</si>
  <si>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</si>
  <si>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</si>
  <si>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</si>
  <si>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</si>
  <si>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</si>
  <si>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</si>
  <si>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</si>
  <si>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</si>
  <si>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</si>
  <si>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</si>
  <si>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</si>
  <si>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</si>
  <si>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</si>
  <si>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</si>
  <si>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</si>
  <si>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</si>
  <si>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</si>
  <si>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</si>
  <si>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</si>
  <si>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</si>
  <si>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</si>
  <si>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</si>
  <si>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</si>
  <si>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</si>
  <si>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</si>
  <si>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</si>
  <si>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</si>
  <si>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</si>
  <si>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</si>
  <si>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</si>
  <si>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</si>
  <si>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</si>
  <si>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</si>
  <si>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</si>
  <si>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</si>
  <si>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</si>
  <si>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</si>
  <si>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</si>
  <si>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</si>
  <si>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</si>
  <si>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</si>
  <si>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</si>
  <si>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</si>
  <si>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</si>
  <si>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</si>
  <si>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</si>
  <si>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</si>
  <si>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</si>
  <si>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</si>
  <si>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</si>
  <si>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</si>
  <si>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</si>
  <si>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</si>
  <si>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</si>
  <si>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</si>
  <si>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</si>
  <si>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</si>
  <si>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</si>
  <si>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</si>
  <si>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</si>
  <si>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</si>
  <si>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</si>
  <si>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</si>
  <si>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</si>
  <si>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</si>
  <si>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</si>
  <si>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</si>
  <si>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</si>
  <si>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</si>
  <si>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</si>
  <si>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</si>
  <si>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</si>
  <si>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</si>
  <si>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</si>
  <si>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</si>
  <si>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</si>
  <si>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</si>
  <si>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</si>
  <si>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</si>
  <si>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</si>
  <si>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</si>
  <si>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</si>
  <si>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</si>
  <si>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</si>
  <si>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</si>
  <si>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</si>
  <si>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</si>
  <si>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</si>
  <si>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</si>
  <si>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</si>
  <si>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</si>
  <si>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</si>
  <si>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</si>
  <si>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</si>
  <si>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</si>
  <si>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</si>
  <si>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</si>
  <si>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</si>
  <si>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</si>
  <si>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</si>
  <si>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</si>
  <si>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</si>
  <si>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</si>
  <si>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</si>
  <si>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</si>
  <si>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</si>
  <si>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</si>
  <si>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</si>
  <si>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</si>
  <si>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</si>
  <si>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</si>
  <si>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</si>
  <si>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</si>
  <si>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</si>
  <si>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</si>
  <si>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</si>
  <si>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</si>
  <si>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</si>
  <si>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</si>
  <si>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</si>
  <si>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</si>
  <si>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</si>
  <si>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</si>
  <si>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</si>
  <si>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</si>
  <si>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</si>
  <si>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</si>
  <si>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</si>
  <si>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</si>
  <si>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</si>
  <si>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</si>
  <si>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</si>
  <si>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</si>
  <si>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</si>
  <si>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</si>
  <si>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</si>
  <si>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</si>
  <si>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</si>
  <si>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</si>
  <si>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</si>
  <si>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</si>
  <si>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</si>
  <si>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</si>
  <si>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</si>
  <si>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</si>
  <si>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</si>
  <si>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</si>
  <si>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</si>
  <si>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</si>
  <si>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</si>
  <si>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</si>
  <si>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</si>
  <si>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</si>
  <si>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</si>
  <si>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</si>
  <si>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</si>
  <si>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</si>
  <si>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</si>
  <si>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</si>
  <si>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</si>
  <si>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</si>
  <si>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</si>
  <si>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</si>
  <si>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</si>
  <si>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</si>
  <si>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</si>
  <si>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</si>
  <si>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</si>
  <si>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</si>
  <si>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</si>
  <si>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</si>
  <si>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</si>
  <si>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</si>
  <si>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</si>
  <si>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</si>
  <si>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</si>
  <si>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</si>
  <si>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</si>
  <si>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</si>
  <si>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</si>
  <si>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</si>
  <si>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</si>
  <si>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</si>
  <si>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</si>
  <si>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</si>
  <si>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</si>
  <si>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</si>
  <si>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</si>
  <si>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</si>
  <si>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</si>
  <si>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</si>
  <si>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</si>
  <si>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</si>
  <si>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</si>
  <si>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</si>
  <si>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</si>
  <si>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</si>
  <si>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</si>
  <si>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</si>
  <si>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</si>
  <si>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</si>
  <si>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</si>
  <si>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</si>
  <si>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</si>
  <si>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</si>
  <si>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</si>
  <si>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</si>
  <si>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</si>
  <si>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</si>
  <si>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</si>
  <si>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</si>
  <si>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</si>
  <si>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</si>
  <si>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</si>
  <si>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</si>
  <si>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</si>
  <si>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</si>
  <si>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</si>
  <si>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</si>
  <si>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</si>
  <si>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</si>
  <si>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</si>
  <si>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</si>
  <si>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</si>
  <si>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</si>
  <si>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</si>
  <si>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</si>
  <si>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</si>
  <si>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</si>
  <si>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</si>
  <si>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</si>
  <si>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</si>
  <si>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</si>
  <si>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</si>
  <si>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</si>
  <si>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</si>
  <si>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</si>
  <si>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</si>
  <si>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</si>
  <si>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</si>
  <si>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</si>
  <si>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</si>
  <si>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</si>
  <si>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</si>
  <si>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</si>
  <si>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</si>
  <si>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</si>
  <si>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</si>
  <si>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</si>
  <si>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</si>
  <si>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</si>
  <si>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</si>
  <si>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</si>
  <si>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</si>
  <si>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</si>
  <si>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</si>
  <si>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</si>
  <si>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</si>
  <si>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</si>
  <si>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</si>
  <si>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</si>
  <si>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</si>
  <si>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</si>
  <si>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</si>
  <si>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</si>
  <si>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</si>
  <si>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</si>
  <si>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</si>
  <si>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</si>
  <si>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</si>
  <si>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</si>
  <si>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</si>
  <si>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</si>
  <si>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</si>
  <si>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</si>
  <si>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</si>
  <si>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</si>
  <si>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</si>
  <si>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</si>
  <si>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</si>
  <si>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</si>
  <si>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</si>
  <si>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</si>
  <si>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</si>
  <si>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</si>
  <si>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</si>
  <si>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</si>
  <si>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</si>
  <si>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</si>
  <si>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</si>
  <si>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</si>
  <si>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</si>
  <si>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</si>
  <si>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</si>
  <si>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</si>
  <si>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</si>
  <si>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</si>
  <si>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</si>
  <si>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</si>
  <si>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</si>
  <si>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</si>
  <si>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</si>
  <si>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</si>
  <si>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</si>
  <si>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</si>
  <si>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</si>
  <si>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</si>
  <si>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</si>
  <si>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</si>
  <si>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</si>
  <si>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</si>
  <si>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</si>
  <si>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</si>
  <si>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</si>
  <si>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</si>
  <si>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</si>
  <si>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</si>
  <si>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</si>
  <si>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</si>
  <si>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</si>
  <si>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</si>
  <si>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</si>
  <si>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</si>
  <si>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</si>
  <si>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</si>
  <si>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</si>
  <si>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</si>
  <si>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</si>
  <si>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</si>
  <si>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</si>
  <si>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</si>
  <si>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</si>
  <si>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</si>
  <si>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</si>
  <si>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</si>
  <si>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</si>
  <si>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</si>
  <si>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</si>
  <si>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</si>
  <si>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</si>
  <si>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</si>
  <si>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</si>
  <si>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</si>
  <si>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</si>
  <si>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</si>
  <si>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</si>
  <si>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</si>
  <si>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</si>
  <si>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</si>
  <si>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</si>
  <si>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</si>
  <si>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</si>
  <si>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</si>
  <si>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</si>
  <si>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</si>
  <si>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</si>
  <si>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</si>
  <si>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</si>
  <si>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</si>
  <si>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</si>
  <si>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</si>
  <si>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</si>
  <si>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</si>
  <si>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</si>
  <si>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</si>
  <si>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</si>
  <si>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</si>
  <si>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</si>
  <si>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</si>
  <si>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</si>
  <si>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</si>
  <si>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</si>
  <si>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</si>
  <si>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</si>
  <si>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</si>
  <si>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</si>
  <si>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</si>
  <si>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</si>
  <si>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</si>
  <si>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</si>
  <si>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</si>
  <si>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</si>
  <si>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</si>
  <si>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</si>
  <si>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</si>
  <si>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</si>
  <si>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</si>
  <si>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</si>
  <si>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</si>
  <si>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</si>
  <si>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</si>
  <si>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</si>
  <si>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</si>
  <si>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</si>
  <si>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</si>
  <si>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</si>
  <si>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</si>
  <si>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</si>
  <si>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</si>
  <si>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</si>
  <si>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</si>
  <si>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</si>
  <si>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</si>
  <si>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</si>
  <si>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</si>
  <si>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</si>
  <si>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</si>
  <si>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</si>
  <si>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</si>
  <si>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</si>
  <si>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</si>
  <si>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</si>
  <si>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</si>
  <si>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</si>
  <si>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</si>
  <si>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</si>
  <si>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</si>
  <si>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</si>
  <si>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</si>
  <si>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</si>
  <si>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</si>
  <si>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</si>
  <si>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</si>
  <si>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</si>
  <si>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</si>
  <si>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</si>
  <si>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</si>
  <si>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</si>
  <si>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</si>
  <si>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</si>
  <si>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</si>
  <si>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</si>
  <si>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</si>
  <si>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</si>
  <si>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</si>
  <si>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</si>
  <si>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</si>
  <si>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</si>
  <si>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</si>
  <si>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</si>
  <si>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</si>
  <si>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</si>
  <si>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</si>
  <si>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</si>
  <si>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</si>
  <si>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</si>
  <si>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</si>
  <si>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</si>
  <si>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</si>
  <si>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</si>
  <si>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</si>
  <si>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</si>
  <si>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</si>
  <si>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</si>
  <si>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</si>
  <si>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</si>
  <si>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</si>
  <si>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</si>
  <si>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</si>
  <si>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</si>
  <si>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</si>
  <si>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</si>
  <si>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</si>
  <si>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</si>
  <si>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</si>
  <si>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</si>
  <si>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</si>
  <si>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</si>
  <si>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</si>
  <si>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</si>
  <si>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</si>
  <si>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</si>
  <si>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</si>
  <si>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</si>
  <si>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</si>
  <si>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</si>
  <si>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</si>
  <si>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</si>
  <si>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</si>
  <si>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</si>
  <si>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</si>
  <si>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</si>
  <si>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</si>
  <si>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</si>
  <si>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04-2630303</t>
  </si>
  <si>
    <t>Titan Roofing, Inc.</t>
  </si>
  <si>
    <t>165 Harding Street, Worcester, MA  01604</t>
  </si>
  <si>
    <t>Jane Wood</t>
  </si>
  <si>
    <t>Payroll Admin</t>
  </si>
  <si>
    <t>Roofers</t>
  </si>
  <si>
    <t>47-2181</t>
  </si>
  <si>
    <t>47-2211</t>
  </si>
  <si>
    <t>Extruding and Forming Machine Setters, Operators, and Tenders, Synthetic and Glass Fibers</t>
  </si>
  <si>
    <t>53-7021</t>
  </si>
  <si>
    <t>Industrial Truck and Tractor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</si>
</sst>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3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243840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12</xdr:col>
          <xdr:colOff>628356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495300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65" zoomScaleNormal="65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5.77734375" customWidth="1"/>
    <col min="4" max="4" width="46.21875" customWidth="1"/>
    <col min="5" max="5" width="18.33203125" customWidth="1"/>
    <col min="7" max="7" width="14.44140625" style="3" customWidth="1"/>
    <col min="8" max="8" width="15.6640625" customWidth="1"/>
    <col min="10" max="10" width="8.6640625" style="3"/>
    <col min="13" max="13" width="10.88671875" customWidth="1"/>
    <col min="14" max="14" width="14.109375" style="3" customWidth="1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9" t="s">
        <v>321</v>
      </c>
      <c r="J5" s="149"/>
      <c r="K5" s="149"/>
      <c r="L5" s="149"/>
      <c r="M5" s="149"/>
      <c r="N5" s="149"/>
      <c r="O5" s="149"/>
      <c r="P5" s="14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1"/>
      <c r="H6" s="40"/>
      <c r="I6" s="162"/>
      <c r="J6" s="162"/>
      <c r="K6" s="162"/>
      <c r="L6" s="162"/>
      <c r="M6" s="162"/>
      <c r="N6" s="162"/>
      <c r="O6" s="162"/>
      <c r="P6" s="16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1"/>
      <c r="R7" s="71"/>
      <c r="S7" s="43" t="s">
        <v>6</v>
      </c>
      <c r="T7" s="115"/>
      <c r="U7" s="70"/>
      <c r="V7" s="2"/>
      <c r="W7" s="2"/>
      <c r="X7" s="151" t="s">
        <v>1839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1837</v>
      </c>
      <c r="E8" s="161"/>
      <c r="F8" s="161"/>
      <c r="G8" s="70"/>
      <c r="H8" s="41"/>
      <c r="I8" s="138"/>
      <c r="J8" s="163"/>
      <c r="K8" s="139"/>
      <c r="L8" s="138"/>
      <c r="M8" s="139"/>
      <c r="N8" s="130"/>
      <c r="O8" s="138"/>
      <c r="P8" s="139"/>
      <c r="Q8" s="131"/>
      <c r="R8" s="38"/>
      <c r="S8" s="43" t="s">
        <v>7</v>
      </c>
      <c r="T8" s="115"/>
      <c r="U8" s="53"/>
      <c r="V8" s="2"/>
      <c r="W8" s="2"/>
      <c r="X8" s="157" t="s">
        <v>1840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1838</v>
      </c>
      <c r="E9" s="161"/>
      <c r="F9" s="161"/>
      <c r="G9" s="70"/>
      <c r="H9" s="41"/>
      <c r="I9" s="138"/>
      <c r="J9" s="163"/>
      <c r="K9" s="139"/>
      <c r="L9" s="138"/>
      <c r="M9" s="139"/>
      <c r="N9" s="130"/>
      <c r="O9" s="138"/>
      <c r="P9" s="139"/>
      <c r="Q9" s="131"/>
      <c r="R9" s="38"/>
      <c r="S9" s="43" t="s">
        <v>8</v>
      </c>
      <c r="T9" s="115"/>
      <c r="U9" s="70"/>
      <c r="V9" s="2"/>
      <c r="W9" s="2"/>
      <c r="X9" s="136">
        <v>43283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65"/>
      <c r="J10" s="165"/>
      <c r="K10" s="165"/>
      <c r="L10" s="165"/>
      <c r="M10" s="165"/>
      <c r="N10" s="126"/>
      <c r="O10" s="165"/>
      <c r="P10" s="165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1836</v>
      </c>
      <c r="E11" s="173"/>
      <c r="F11" s="174"/>
      <c r="G11" s="53"/>
      <c r="H11" s="41"/>
      <c r="I11" s="165"/>
      <c r="J11" s="165"/>
      <c r="K11" s="165"/>
      <c r="L11" s="165"/>
      <c r="M11" s="165"/>
      <c r="N11" s="126"/>
      <c r="O11" s="165"/>
      <c r="P11" s="165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4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/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5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" thickBot="1" x14ac:dyDescent="0.35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18</v>
      </c>
      <c r="G22" s="96">
        <v>2057.5</v>
      </c>
      <c r="H22" s="137">
        <v>59518</v>
      </c>
      <c r="I22" s="96"/>
      <c r="J22" s="96"/>
      <c r="K22" s="94"/>
      <c r="L22" s="97">
        <v>2</v>
      </c>
      <c r="M22" s="97">
        <v>101.5</v>
      </c>
      <c r="N22" s="116">
        <v>1677.51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19</v>
      </c>
      <c r="D23" s="33" t="s">
        <v>1844</v>
      </c>
      <c r="E23" s="92" t="s">
        <v>1843</v>
      </c>
      <c r="F23" s="96">
        <v>0</v>
      </c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19</v>
      </c>
      <c r="D24" s="33" t="s">
        <v>1846</v>
      </c>
      <c r="E24" s="92" t="s">
        <v>1845</v>
      </c>
      <c r="F24" s="96">
        <v>0</v>
      </c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4"/>
      <c r="D38" s="154"/>
      <c r="E38" s="15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18</v>
      </c>
      <c r="G39" s="95">
        <f>SUM(G22:G37)</f>
        <v>2057.5</v>
      </c>
      <c r="H39" s="113">
        <f>SUM(H22:H37)</f>
        <v>59518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2</v>
      </c>
      <c r="M39" s="95">
        <f t="shared" si="0"/>
        <v>101.5</v>
      </c>
      <c r="N39" s="113">
        <f>SUM(N22:N37)</f>
        <v>1677.51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12</xdr:col>
                    <xdr:colOff>624840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USER</cp:lastModifiedBy>
  <cp:lastPrinted>2018-06-08T12:42:28Z</cp:lastPrinted>
  <dcterms:created xsi:type="dcterms:W3CDTF">2016-01-07T15:16:02Z</dcterms:created>
  <dcterms:modified xsi:type="dcterms:W3CDTF">2018-07-02T12:50:55Z</dcterms:modified>
</cp:coreProperties>
</file>