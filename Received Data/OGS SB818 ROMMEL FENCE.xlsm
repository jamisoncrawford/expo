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1- January 2018\"/>
    </mc:Choice>
  </mc:AlternateContent>
  <bookViews>
    <workbookView xWindow="0" yWindow="0" windowWidth="15750" windowHeight="1111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externalReferences>
    <externalReference r:id="rId5"/>
  </externalReference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<sst xmlns="http://schemas.openxmlformats.org/spreadsheetml/2006/main" count="2106" uniqueCount="1845">
  <si>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</si>
  <si>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</si>
  <si>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</si>
  <si>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</si>
  <si>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</si>
  <si>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</si>
  <si>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</si>
  <si>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</si>
  <si>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</si>
  <si>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</si>
  <si>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</si>
  <si>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</si>
  <si>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</si>
  <si>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</si>
  <si>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</si>
  <si>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</si>
  <si>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</si>
  <si>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</si>
  <si>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</si>
  <si>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</si>
  <si>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</si>
  <si>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</si>
  <si>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</si>
  <si>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</si>
  <si>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</si>
  <si>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</si>
  <si>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</si>
  <si>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</si>
  <si>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</si>
  <si>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</si>
  <si>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</si>
  <si>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</si>
  <si>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</si>
  <si>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</si>
  <si>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</si>
  <si>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</si>
  <si>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</si>
  <si>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</si>
  <si>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</si>
  <si>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</si>
  <si>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</si>
  <si>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</si>
  <si>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</si>
  <si>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</si>
  <si>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</si>
  <si>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</si>
  <si>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</si>
  <si>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</si>
  <si>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</si>
  <si>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</si>
  <si>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</si>
  <si>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</si>
  <si>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</si>
  <si>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</si>
  <si>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</si>
  <si>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</si>
  <si>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</si>
  <si>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</si>
  <si>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</si>
  <si>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</si>
  <si>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</si>
  <si>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</si>
  <si>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</si>
  <si>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</si>
  <si>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</si>
  <si>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</si>
  <si>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</si>
  <si>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</si>
  <si>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</si>
  <si>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</si>
  <si>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</si>
  <si>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</si>
  <si>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</si>
  <si>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</si>
  <si>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</si>
  <si>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</si>
  <si>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</si>
  <si>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</si>
  <si>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</si>
  <si>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</si>
  <si>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</si>
  <si>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</si>
  <si>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</si>
  <si>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</si>
  <si>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</si>
  <si>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</si>
  <si>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</si>
  <si>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</si>
  <si>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</si>
  <si>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</si>
  <si>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</si>
  <si>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</si>
  <si>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</si>
  <si>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</si>
  <si>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</si>
  <si>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</si>
  <si>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</si>
  <si>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</si>
  <si>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</si>
  <si>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</si>
  <si>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</si>
  <si>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</si>
  <si>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</si>
  <si>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</si>
  <si>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</si>
  <si>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</si>
  <si>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</si>
  <si>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</si>
  <si>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</si>
  <si>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</si>
  <si>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</si>
  <si>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</si>
  <si>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</si>
  <si>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</si>
  <si>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</si>
  <si>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</si>
  <si>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</si>
  <si>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</si>
  <si>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</si>
  <si>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</si>
  <si>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</si>
  <si>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</si>
  <si>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</si>
  <si>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</si>
  <si>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</si>
  <si>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</si>
  <si>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</si>
  <si>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</si>
  <si>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</si>
  <si>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</si>
  <si>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</si>
  <si>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</si>
  <si>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</si>
  <si>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</si>
  <si>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</si>
  <si>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</si>
  <si>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</si>
  <si>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</si>
  <si>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</si>
  <si>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</si>
  <si>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</si>
  <si>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</si>
  <si>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</si>
  <si>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</si>
  <si>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</si>
  <si>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</si>
  <si>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</si>
  <si>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</si>
  <si>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</si>
  <si>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</si>
  <si>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</si>
  <si>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</si>
  <si>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</si>
  <si>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</si>
  <si>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</si>
  <si>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</si>
  <si>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</si>
  <si>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</si>
  <si>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</si>
  <si>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</si>
  <si>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</si>
  <si>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</si>
  <si>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</si>
  <si>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</si>
  <si>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</si>
  <si>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</si>
  <si>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</si>
  <si>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</si>
  <si>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</si>
  <si>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</si>
  <si>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</si>
  <si>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</si>
  <si>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</si>
  <si>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</si>
  <si>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</si>
  <si>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</si>
  <si>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</si>
  <si>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</si>
  <si>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</si>
  <si>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</si>
  <si>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</si>
  <si>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</si>
  <si>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</si>
  <si>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</si>
  <si>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</si>
  <si>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</si>
  <si>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</si>
  <si>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</si>
  <si>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</si>
  <si>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</si>
  <si>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</si>
  <si>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</si>
  <si>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</si>
  <si>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</si>
  <si>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</si>
  <si>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</si>
  <si>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</si>
  <si>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</si>
  <si>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</si>
  <si>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</si>
  <si>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</si>
  <si>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</si>
  <si>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</si>
  <si>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</si>
  <si>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</si>
  <si>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</si>
  <si>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</si>
  <si>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</si>
  <si>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</si>
  <si>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</si>
  <si>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</si>
  <si>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</si>
  <si>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</si>
  <si>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</si>
  <si>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</si>
  <si>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</si>
  <si>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</si>
  <si>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</si>
  <si>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</si>
  <si>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</si>
  <si>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</si>
  <si>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</si>
  <si>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</si>
  <si>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</si>
  <si>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</si>
  <si>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</si>
  <si>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</si>
  <si>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</si>
  <si>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</si>
  <si>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</si>
  <si>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</si>
  <si>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</si>
  <si>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</si>
  <si>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</si>
  <si>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</si>
  <si>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</si>
  <si>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</si>
  <si>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</si>
  <si>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</si>
  <si>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</si>
  <si>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</si>
  <si>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</si>
  <si>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</si>
  <si>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</si>
  <si>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</si>
  <si>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</si>
  <si>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</si>
  <si>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</si>
  <si>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</si>
  <si>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</si>
  <si>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</si>
  <si>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</si>
  <si>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</si>
  <si>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</si>
  <si>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</si>
  <si>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</si>
  <si>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</si>
  <si>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</si>
  <si>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</si>
  <si>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</si>
  <si>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</si>
  <si>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</si>
  <si>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</si>
  <si>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</si>
  <si>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</si>
  <si>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</si>
  <si>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</si>
  <si>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</si>
  <si>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</si>
  <si>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</si>
  <si>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</si>
  <si>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</si>
  <si>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</si>
  <si>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</si>
  <si>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</si>
  <si>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</si>
  <si>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</si>
  <si>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</si>
  <si>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</si>
  <si>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</si>
  <si>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</si>
  <si>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</si>
  <si>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</si>
  <si>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</si>
  <si>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</si>
  <si>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</si>
  <si>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</si>
  <si>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</si>
  <si>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</si>
  <si>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</si>
  <si>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</si>
  <si>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</si>
  <si>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</si>
  <si>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</si>
  <si>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</si>
  <si>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</si>
  <si>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</si>
  <si>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</si>
  <si>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</si>
  <si>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</si>
  <si>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</si>
  <si>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</si>
  <si>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</si>
  <si>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</si>
  <si>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</si>
  <si>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</si>
  <si>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</si>
  <si>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</si>
  <si>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</si>
  <si>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</si>
  <si>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</si>
  <si>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</si>
  <si>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</si>
  <si>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</si>
  <si>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</si>
  <si>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</si>
  <si>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</si>
  <si>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</si>
  <si>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</si>
  <si>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</si>
  <si>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</si>
  <si>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</si>
  <si>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</si>
  <si>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</si>
  <si>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</si>
  <si>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</si>
  <si>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</si>
  <si>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</si>
  <si>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</si>
  <si>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</si>
  <si>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</si>
  <si>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</si>
  <si>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</si>
  <si>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</si>
  <si>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</si>
  <si>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</si>
  <si>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</si>
  <si>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</si>
  <si>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</si>
  <si>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</si>
  <si>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</si>
  <si>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</si>
  <si>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</si>
  <si>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</si>
  <si>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</si>
  <si>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</si>
  <si>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</si>
  <si>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</si>
  <si>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</si>
  <si>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</si>
  <si>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</si>
  <si>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</si>
  <si>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</si>
  <si>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</si>
  <si>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</si>
  <si>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</si>
  <si>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</si>
  <si>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</si>
  <si>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</si>
  <si>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</si>
  <si>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</si>
  <si>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</si>
  <si>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</si>
  <si>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</si>
  <si>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</si>
  <si>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</si>
  <si>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</si>
  <si>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</si>
  <si>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</si>
  <si>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</si>
  <si>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</si>
  <si>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</si>
  <si>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</si>
  <si>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</si>
  <si>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</si>
  <si>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</si>
  <si>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</si>
  <si>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</si>
  <si>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</si>
  <si>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</si>
  <si>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</si>
  <si>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</si>
  <si>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</si>
  <si>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</si>
  <si>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</si>
  <si>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</si>
  <si>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</si>
  <si>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</si>
  <si>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</si>
  <si>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</si>
  <si>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</si>
  <si>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</si>
  <si>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</si>
  <si>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</si>
  <si>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</si>
  <si>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</si>
  <si>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</si>
  <si>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</si>
  <si>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</si>
  <si>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</si>
  <si>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</si>
  <si>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</si>
  <si>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</si>
  <si>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</si>
  <si>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</si>
  <si>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</si>
  <si>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</si>
  <si>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</si>
  <si>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</si>
  <si>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</si>
  <si>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</si>
  <si>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</si>
  <si>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</si>
  <si>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</si>
  <si>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</si>
  <si>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</si>
  <si>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</si>
  <si>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</si>
  <si>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</si>
  <si>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</si>
  <si>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</si>
  <si>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</si>
  <si>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</si>
  <si>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</si>
  <si>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</si>
  <si>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</si>
  <si>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</si>
  <si>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</si>
  <si>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</si>
  <si>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</si>
  <si>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</si>
  <si>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</si>
  <si>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</si>
  <si>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</si>
  <si>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</si>
  <si>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</si>
  <si>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</si>
  <si>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</si>
  <si>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</si>
  <si>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</si>
  <si>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</si>
  <si>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</si>
  <si>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</si>
  <si>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</si>
  <si>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</si>
  <si>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</si>
  <si>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</si>
  <si>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</si>
  <si>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</si>
  <si>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</si>
  <si>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</si>
  <si>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</si>
  <si>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</si>
  <si>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</si>
  <si>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</si>
  <si>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</si>
  <si>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</si>
  <si>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</si>
  <si>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</si>
  <si>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</si>
  <si>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</si>
  <si>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</si>
  <si>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</si>
  <si>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</si>
  <si>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</si>
  <si>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</si>
  <si>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</si>
  <si>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</si>
  <si>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</si>
  <si>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</si>
  <si>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</si>
  <si>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</si>
  <si>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</si>
  <si>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</si>
  <si>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</si>
  <si>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</si>
  <si>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</si>
  <si>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</si>
  <si>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</si>
  <si>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</si>
  <si>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</si>
  <si>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</si>
  <si>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</si>
  <si>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</si>
  <si>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</si>
  <si>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</si>
  <si>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</si>
  <si>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</si>
  <si>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</si>
  <si>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</si>
  <si>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</si>
  <si>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</si>
  <si>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</si>
  <si>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</si>
  <si>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</si>
  <si>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</si>
  <si>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</si>
  <si>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</si>
  <si>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</si>
  <si>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</si>
  <si>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</si>
  <si>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</si>
  <si>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</si>
  <si>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</si>
  <si>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</si>
  <si>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</si>
  <si>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</si>
  <si>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</si>
  <si>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</si>
  <si>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</si>
  <si>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</si>
  <si>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</si>
  <si>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</si>
  <si>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</si>
  <si>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</si>
  <si>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</si>
  <si>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</si>
  <si>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</si>
  <si>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</si>
  <si>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</si>
  <si>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</si>
  <si>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</si>
  <si>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</si>
  <si>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</si>
  <si>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</si>
  <si>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</si>
  <si>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</si>
  <si>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</si>
  <si>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</si>
  <si>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</si>
  <si>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</si>
  <si>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</si>
  <si>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</si>
  <si>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</si>
  <si>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</si>
  <si>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</si>
  <si>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</si>
  <si>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</si>
  <si>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</si>
  <si>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</si>
  <si>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</si>
  <si>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</si>
  <si>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</si>
  <si>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</si>
  <si>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</si>
  <si>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</si>
  <si>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</si>
  <si>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</si>
  <si>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</si>
  <si>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</si>
  <si>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</si>
  <si>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</si>
  <si>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</si>
  <si>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</si>
  <si>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</si>
  <si>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</si>
  <si>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</si>
  <si>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</si>
  <si>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</si>
  <si>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</si>
  <si>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</si>
  <si>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</si>
  <si>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</si>
  <si>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</si>
  <si>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</si>
  <si>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</si>
  <si>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</si>
  <si>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</si>
  <si>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</si>
  <si>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</si>
  <si>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</si>
  <si>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</si>
  <si>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</si>
  <si>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</si>
  <si>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</si>
  <si>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</si>
  <si>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</si>
  <si>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</si>
  <si>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</si>
  <si>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</si>
  <si>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</si>
  <si>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</si>
  <si>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</si>
  <si>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</si>
  <si>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</si>
  <si>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</si>
  <si>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</si>
  <si>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</si>
  <si>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</si>
  <si>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</si>
  <si>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</si>
  <si>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</si>
  <si>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</si>
  <si>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</si>
  <si>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</si>
  <si>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</si>
  <si>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</si>
  <si>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</si>
  <si>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</si>
  <si>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</si>
  <si>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</si>
  <si>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</si>
  <si>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</si>
  <si>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</si>
  <si>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</si>
  <si>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</si>
  <si>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</si>
  <si>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</si>
  <si>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</si>
  <si>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</si>
  <si>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</si>
  <si>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</si>
  <si>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</si>
  <si>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</si>
  <si>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</si>
  <si>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</si>
  <si>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</si>
  <si>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</si>
  <si>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</si>
  <si>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</si>
  <si>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</si>
  <si>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</si>
  <si>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</si>
  <si>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</si>
  <si>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</si>
  <si>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</si>
  <si>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</si>
  <si>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</si>
  <si>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</si>
  <si>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</si>
  <si>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</si>
  <si>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</si>
  <si>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</si>
  <si>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</si>
  <si>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</si>
  <si>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</si>
  <si>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</si>
  <si>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</si>
  <si>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</si>
  <si>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</si>
  <si>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</si>
  <si>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</si>
  <si>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</si>
  <si>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</si>
  <si>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</si>
  <si>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</si>
  <si>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</si>
  <si>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</si>
  <si>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</si>
  <si>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</si>
  <si>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</si>
  <si>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</si>
  <si>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</si>
  <si>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</si>
  <si>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</si>
  <si>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</si>
  <si>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</si>
  <si>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</si>
  <si>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</si>
  <si>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</si>
  <si>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</si>
  <si>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</si>
  <si>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</si>
  <si>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</si>
  <si>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</si>
  <si>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</si>
  <si>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</si>
  <si>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</si>
  <si>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</si>
  <si>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</si>
  <si>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</si>
  <si>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</si>
  <si>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</si>
  <si>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</si>
  <si>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</si>
  <si>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</si>
  <si>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</si>
  <si>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</si>
  <si>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</si>
  <si>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</si>
  <si>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</si>
  <si>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</si>
  <si>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</si>
  <si>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</si>
  <si>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</si>
  <si>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</si>
  <si>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</si>
  <si>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</si>
  <si>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</si>
  <si>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</si>
  <si>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</si>
  <si>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</si>
  <si>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</si>
  <si>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</si>
  <si>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</si>
  <si>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</si>
  <si>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</si>
  <si>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</si>
  <si>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</si>
  <si>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</si>
  <si>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</si>
  <si>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</si>
  <si>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</si>
  <si>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</si>
  <si>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</si>
  <si>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</si>
  <si>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</si>
  <si>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</si>
  <si>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</si>
  <si>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</si>
  <si>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</si>
  <si>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</si>
  <si>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</si>
  <si>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</si>
  <si>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</si>
  <si>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</si>
  <si>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</si>
  <si>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</si>
  <si>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</si>
  <si>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</si>
  <si>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</si>
  <si>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</si>
  <si>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</si>
  <si>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</si>
  <si>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</si>
  <si>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</si>
  <si>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</si>
  <si>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</si>
  <si>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</si>
  <si>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</si>
  <si>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</si>
  <si>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</si>
  <si>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</si>
  <si>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</si>
  <si>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</si>
  <si>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</si>
  <si>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</si>
  <si>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</si>
  <si>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</si>
  <si>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</si>
  <si>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</si>
  <si>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</si>
  <si>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</si>
  <si>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</si>
  <si>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</si>
  <si>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</si>
  <si>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</si>
  <si>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</si>
  <si>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</si>
  <si>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</si>
  <si>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</si>
  <si>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</si>
  <si>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</si>
  <si>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</si>
  <si>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</si>
  <si>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</si>
  <si>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</si>
  <si>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</si>
  <si>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</si>
  <si>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</si>
  <si>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</si>
  <si>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</si>
  <si>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</si>
  <si>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</si>
  <si>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</si>
  <si>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</si>
  <si>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</si>
  <si>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</si>
  <si>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</si>
  <si>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</si>
  <si>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</si>
  <si>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</si>
  <si>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</si>
  <si>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</si>
  <si>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</si>
  <si>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</si>
  <si>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</si>
  <si>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</si>
  <si>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</si>
  <si>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</si>
  <si>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</si>
  <si>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</si>
  <si>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</si>
  <si>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</si>
  <si>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</si>
  <si>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</si>
  <si>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</si>
  <si>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</si>
  <si>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</si>
  <si>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</si>
  <si>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</si>
  <si>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</si>
  <si>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</si>
  <si>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</si>
  <si>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</si>
  <si>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</si>
  <si>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</si>
  <si>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</si>
  <si>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</si>
  <si>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</si>
  <si>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</si>
  <si>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</si>
  <si>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</si>
  <si>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</si>
  <si>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</si>
  <si>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</si>
  <si>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</si>
  <si>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</si>
  <si>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</si>
  <si>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</si>
  <si>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</si>
  <si>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</si>
  <si>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</si>
  <si>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</si>
  <si>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</si>
  <si>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</si>
  <si>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</si>
  <si>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</si>
  <si>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</si>
  <si>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</si>
  <si>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</si>
  <si>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</si>
  <si>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</si>
  <si>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</si>
  <si>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</si>
  <si>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</si>
  <si>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</si>
  <si>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</si>
  <si>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</si>
  <si>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</si>
  <si>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</si>
  <si>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</si>
  <si>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</si>
  <si>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</si>
  <si>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</si>
  <si>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</si>
  <si>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</si>
  <si>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</si>
  <si>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</si>
  <si>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</si>
  <si>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</si>
  <si>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</si>
  <si>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</si>
  <si>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</si>
  <si>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</si>
  <si>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</si>
  <si>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</si>
  <si>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</si>
  <si>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</si>
  <si>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</si>
  <si>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</si>
  <si>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</si>
  <si>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</si>
  <si>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</si>
  <si>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</si>
  <si>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</si>
  <si>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</si>
  <si>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</si>
  <si>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</si>
  <si>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</si>
  <si>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</si>
  <si>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</si>
  <si>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</si>
  <si>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</si>
  <si>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</si>
  <si>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</si>
  <si>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</si>
  <si>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</si>
  <si>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</si>
  <si>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</si>
  <si>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</si>
  <si>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</si>
  <si>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</si>
  <si>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</si>
  <si>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</si>
  <si>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</si>
  <si>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</si>
  <si>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</si>
  <si>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</si>
  <si>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</si>
  <si>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</si>
  <si>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</si>
  <si>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</si>
  <si>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</si>
  <si>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</si>
  <si>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</si>
  <si>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</si>
  <si>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</si>
  <si>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</si>
  <si>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</si>
  <si>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</si>
  <si>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</si>
  <si>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</si>
  <si>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</si>
  <si>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</si>
  <si>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</si>
  <si>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</si>
  <si>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</si>
  <si>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</si>
  <si>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</si>
  <si>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</si>
  <si>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</si>
  <si>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</si>
  <si>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</si>
  <si>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</si>
  <si>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</si>
  <si>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</si>
  <si>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</si>
  <si>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</si>
  <si>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</si>
  <si>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</si>
  <si>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</si>
  <si>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</si>
  <si>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</si>
  <si>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</si>
  <si>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</si>
  <si>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</si>
  <si>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</si>
  <si>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</si>
  <si>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</si>
  <si>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</si>
  <si>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</si>
  <si>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</si>
  <si>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</si>
  <si>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</si>
  <si>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</si>
  <si>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</si>
  <si>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</si>
  <si>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</si>
  <si>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</si>
  <si>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</si>
  <si>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</si>
  <si>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</si>
  <si>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</si>
  <si>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</si>
  <si>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</si>
  <si>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</si>
  <si>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</si>
  <si>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</si>
  <si>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</si>
  <si>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</si>
  <si>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</si>
  <si>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</si>
  <si>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</si>
  <si>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</si>
  <si>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</si>
  <si>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</si>
  <si>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</si>
  <si>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</si>
  <si>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</si>
  <si>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</si>
  <si>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</si>
  <si>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</si>
  <si>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</si>
  <si>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</si>
  <si>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</si>
  <si>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</si>
  <si>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</si>
  <si>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</si>
  <si>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</si>
  <si>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</si>
  <si>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</si>
  <si>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</si>
  <si>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</si>
  <si>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</si>
  <si>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</si>
  <si>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</si>
  <si>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</si>
  <si>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</si>
  <si>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</si>
  <si>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</si>
  <si>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</si>
  <si>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</si>
  <si>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</si>
  <si>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</si>
  <si>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</si>
  <si>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</si>
  <si>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</si>
  <si>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</si>
  <si>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</si>
  <si>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</si>
  <si>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</si>
  <si>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</si>
  <si>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</si>
  <si>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</si>
  <si>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</si>
  <si>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</si>
  <si>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</si>
  <si>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</si>
  <si>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</si>
  <si>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</si>
  <si>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</si>
  <si>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</si>
  <si>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</si>
  <si>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</si>
  <si>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</si>
  <si>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</si>
  <si>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</si>
  <si>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</si>
  <si>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</si>
  <si>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</si>
  <si>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</si>
  <si>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</si>
  <si>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</si>
  <si>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</si>
  <si>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</si>
  <si>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</si>
  <si>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</si>
  <si>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</si>
  <si>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</si>
  <si>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</si>
  <si>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</si>
  <si>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</si>
  <si>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</si>
  <si>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</si>
  <si>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</si>
  <si>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</si>
  <si>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</si>
  <si>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</si>
  <si>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</si>
  <si>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</si>
  <si>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</si>
  <si>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</si>
  <si>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</si>
  <si>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</si>
  <si>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</si>
  <si>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</si>
  <si>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</si>
  <si>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</si>
  <si>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</si>
  <si>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</si>
  <si>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</si>
  <si>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</si>
  <si>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</si>
  <si>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</si>
  <si>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</si>
  <si>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</si>
  <si>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</si>
  <si>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</si>
  <si>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</si>
  <si>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</si>
  <si>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</si>
  <si>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</si>
  <si>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</si>
  <si>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</si>
  <si>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</si>
  <si>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</si>
  <si>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</si>
  <si>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</si>
  <si>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</si>
  <si>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</si>
  <si>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</si>
  <si>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</si>
  <si>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</si>
  <si>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</si>
  <si>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</si>
  <si>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</si>
  <si>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</si>
  <si>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</si>
  <si>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</si>
  <si>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</si>
  <si>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</si>
  <si>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</si>
  <si>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</si>
  <si>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</si>
  <si>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</si>
  <si>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</si>
  <si>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</si>
  <si>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</si>
  <si>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</si>
  <si>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</si>
  <si>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</si>
  <si>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</si>
  <si>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</si>
  <si>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</si>
  <si>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</si>
  <si>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</si>
  <si>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</si>
  <si>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</si>
  <si>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</si>
  <si>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</si>
  <si>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</si>
  <si>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</si>
  <si>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</si>
  <si>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</si>
  <si>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</si>
  <si>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</si>
  <si>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</si>
  <si>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</si>
  <si>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</si>
  <si>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</si>
  <si>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</si>
  <si>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</si>
  <si>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</si>
  <si>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</si>
  <si>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</si>
  <si>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</si>
  <si>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</si>
  <si>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</si>
  <si>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</si>
  <si>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</si>
  <si>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</si>
  <si>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</si>
  <si>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</si>
  <si>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</si>
  <si>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</si>
  <si>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</si>
  <si>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</si>
  <si>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</si>
  <si>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</si>
  <si>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</si>
  <si>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</si>
  <si>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</si>
  <si>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</si>
  <si>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</si>
  <si>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</si>
  <si>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</si>
  <si>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</si>
  <si>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</si>
  <si>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</si>
  <si>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</si>
  <si>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</si>
  <si>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</si>
  <si>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</si>
  <si>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</si>
  <si>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</si>
  <si>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</si>
  <si>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</si>
  <si>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</si>
  <si>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</si>
  <si>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</si>
  <si>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</si>
  <si>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</si>
  <si>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</si>
  <si>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</si>
  <si>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</si>
  <si>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</si>
  <si>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</si>
  <si>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</si>
  <si>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</si>
  <si>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</si>
  <si>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</si>
  <si>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</si>
  <si>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</si>
  <si>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</si>
  <si>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</si>
  <si>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</si>
  <si>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</si>
  <si>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</si>
  <si>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</si>
  <si>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</si>
  <si>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</si>
  <si>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</si>
  <si>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</si>
  <si>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</si>
  <si>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</si>
  <si>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</si>
  <si>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</si>
  <si>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</si>
  <si>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</si>
  <si>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</si>
  <si>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</si>
  <si>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</si>
  <si>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</si>
  <si>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</si>
  <si>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</si>
  <si>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</si>
  <si>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</si>
  <si>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</si>
  <si>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</si>
  <si>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</si>
  <si>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</si>
  <si>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</si>
  <si>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</si>
  <si>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</si>
  <si>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</si>
  <si>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</si>
  <si>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</si>
  <si>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</si>
  <si>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</si>
  <si>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</si>
  <si>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</si>
  <si>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</si>
  <si>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</si>
  <si>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</si>
  <si>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</si>
  <si>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</si>
  <si>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</si>
  <si>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</si>
  <si>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</si>
  <si>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</si>
  <si>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</si>
  <si>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</si>
  <si>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</si>
  <si>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</si>
  <si>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</si>
  <si>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</si>
  <si>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</si>
  <si>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</si>
  <si>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</si>
  <si>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</si>
  <si>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</si>
  <si>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</si>
  <si>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</si>
  <si>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</si>
  <si>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</si>
  <si>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</si>
  <si>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</si>
  <si>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</si>
  <si>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</si>
  <si>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</si>
  <si>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</si>
  <si>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</si>
  <si>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</si>
  <si>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</si>
  <si>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</si>
  <si>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</si>
  <si>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</si>
  <si>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</si>
  <si>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</si>
  <si>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</si>
  <si>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</si>
  <si>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</si>
  <si>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</si>
  <si>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</si>
  <si>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</si>
  <si>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</si>
  <si>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</si>
  <si>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</si>
  <si>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</si>
  <si>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</si>
  <si>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</si>
  <si>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</si>
  <si>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</si>
  <si>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</si>
  <si>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</si>
  <si>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</si>
  <si>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</si>
  <si>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</si>
  <si>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</si>
  <si>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</si>
  <si>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</si>
  <si>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</si>
  <si>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</si>
  <si>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</si>
  <si>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</si>
  <si>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</si>
  <si>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</si>
  <si>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</si>
  <si>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</si>
  <si>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</si>
  <si>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</si>
  <si>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</si>
  <si>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</si>
  <si>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</si>
  <si>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</si>
  <si>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</si>
  <si>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</si>
  <si>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</si>
  <si>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</si>
  <si>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</si>
  <si>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</si>
  <si>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</si>
  <si>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</si>
  <si>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</si>
  <si>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</si>
  <si>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</si>
  <si>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</si>
  <si>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</si>
  <si>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</si>
  <si>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</si>
  <si>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</si>
  <si>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</si>
  <si>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</si>
  <si>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</si>
  <si>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</si>
  <si>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</si>
  <si>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</si>
  <si>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</si>
  <si>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</si>
  <si>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</si>
  <si>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</si>
  <si>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</si>
  <si>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</si>
  <si>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</si>
  <si>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</si>
  <si>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</si>
  <si>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</si>
  <si>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</si>
  <si>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</si>
  <si>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</si>
  <si>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</si>
  <si>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</si>
  <si>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</si>
  <si>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</si>
  <si>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</si>
  <si>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</si>
  <si>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</si>
  <si>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</si>
  <si>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</si>
  <si>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</si>
  <si>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</si>
  <si>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</si>
  <si>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</si>
  <si>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</si>
  <si>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</si>
  <si>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</si>
  <si>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</si>
  <si>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</si>
  <si>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</si>
  <si>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</si>
  <si>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</si>
  <si>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</si>
  <si>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</si>
  <si>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</si>
  <si>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</si>
  <si>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</si>
  <si>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</si>
  <si>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</si>
  <si>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</si>
  <si>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</si>
  <si>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</si>
  <si>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</si>
  <si>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</si>
  <si>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</si>
  <si>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</si>
  <si>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</si>
  <si>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</si>
  <si>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</si>
  <si>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</si>
  <si>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</si>
  <si>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</si>
  <si>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</si>
  <si>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</si>
  <si>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</si>
  <si>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</si>
  <si>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</si>
  <si>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</si>
  <si>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</si>
  <si>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</si>
  <si>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</si>
  <si>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</si>
  <si>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</si>
  <si>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</si>
  <si>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</si>
  <si>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</si>
  <si>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</si>
  <si>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</si>
  <si>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</si>
  <si>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</si>
  <si>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</si>
  <si>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</si>
  <si>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</si>
  <si>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</si>
  <si>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</si>
  <si>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</si>
  <si>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</si>
  <si>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</si>
  <si>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</si>
  <si>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</si>
  <si>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</si>
  <si>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</si>
  <si>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</si>
  <si>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</si>
  <si>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</si>
  <si>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</si>
  <si>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</si>
  <si>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</si>
  <si>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</si>
  <si>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</si>
  <si>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</si>
  <si>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</si>
  <si>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</si>
  <si>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</si>
  <si>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</si>
  <si>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</si>
  <si>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</si>
  <si>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</si>
  <si>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</si>
  <si>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</si>
  <si>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</si>
  <si>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</si>
  <si>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</si>
  <si>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</si>
  <si>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</si>
  <si>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</si>
  <si>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</si>
  <si>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</si>
  <si>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</si>
  <si>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</si>
  <si>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</si>
  <si>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</si>
  <si>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</si>
  <si>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</si>
  <si>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</si>
  <si>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</si>
  <si>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</si>
  <si>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</si>
  <si>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</si>
  <si>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</si>
  <si>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</si>
  <si>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</si>
  <si>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</si>
  <si>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</si>
  <si>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</si>
  <si>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</si>
  <si>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</si>
  <si>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</si>
  <si>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</si>
  <si>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</si>
  <si>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</si>
  <si>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</si>
  <si>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</si>
  <si>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</si>
  <si>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</si>
  <si>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</si>
  <si>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</si>
  <si>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</si>
  <si>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</si>
  <si>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</si>
  <si>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</si>
  <si>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</si>
  <si>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</si>
  <si>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</si>
  <si>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</si>
  <si>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</si>
  <si>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</si>
  <si>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</si>
  <si>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</si>
  <si>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</si>
  <si>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</si>
  <si>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</si>
  <si>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</si>
  <si>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</si>
  <si>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</si>
  <si>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</si>
  <si>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</si>
  <si>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</si>
  <si>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</si>
  <si>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</si>
  <si>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</si>
  <si>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</si>
  <si>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</si>
  <si>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</si>
  <si>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</si>
  <si>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</si>
  <si>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</si>
  <si>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</si>
  <si>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</si>
  <si>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</si>
  <si>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</si>
  <si>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</si>
  <si>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</si>
  <si>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</si>
  <si>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</si>
  <si>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</si>
  <si>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</si>
  <si>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</si>
  <si>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</si>
  <si>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</si>
  <si>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</si>
  <si>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</si>
  <si>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</si>
  <si>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</si>
  <si>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</si>
  <si>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</si>
  <si>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</si>
  <si>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</si>
  <si>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</si>
  <si>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</si>
  <si>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</si>
  <si>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</si>
  <si>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</si>
  <si>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</si>
  <si>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</si>
  <si>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</si>
  <si>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</si>
  <si>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</si>
  <si>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</si>
  <si>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</si>
  <si>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</si>
  <si>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</si>
  <si>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</si>
  <si>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</si>
  <si>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</si>
  <si>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</si>
  <si>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</si>
  <si>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</si>
  <si>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</si>
  <si>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</si>
  <si>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</si>
  <si>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</si>
  <si>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</si>
  <si>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</si>
  <si>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</si>
  <si>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</si>
  <si>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</si>
  <si>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</si>
  <si>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</si>
  <si>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</si>
  <si>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</si>
  <si>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</si>
  <si>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</si>
  <si>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</si>
  <si>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</si>
  <si>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</si>
  <si>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</si>
  <si>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</si>
  <si>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</si>
  <si>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</si>
  <si>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</si>
  <si>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</si>
  <si>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</si>
  <si>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</si>
  <si>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</si>
  <si>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</si>
  <si>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</si>
  <si>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</si>
  <si>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</si>
  <si>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</si>
  <si>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</si>
  <si>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</si>
  <si>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</si>
  <si>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</si>
  <si>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</si>
  <si>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</si>
  <si>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</si>
  <si>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</si>
  <si>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</si>
  <si>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</si>
  <si>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</si>
  <si>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</si>
  <si>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</si>
  <si>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</si>
  <si>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</si>
  <si>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</si>
  <si>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</si>
  <si>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</si>
  <si>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</si>
  <si>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</si>
  <si>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</si>
  <si>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</si>
  <si>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</si>
  <si>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</si>
  <si>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</si>
  <si>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</si>
  <si>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</si>
  <si>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</si>
  <si>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</si>
  <si>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</si>
  <si>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</si>
  <si>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</si>
  <si>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</si>
  <si>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</si>
  <si>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</si>
  <si>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</si>
  <si>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</si>
  <si>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</si>
  <si>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</si>
  <si>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</si>
  <si>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</si>
  <si>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</si>
  <si>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</si>
  <si>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</si>
  <si>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</si>
  <si>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</si>
  <si>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</si>
  <si>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</si>
  <si>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</si>
  <si>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</si>
  <si>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</si>
  <si>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</si>
  <si>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</si>
  <si>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</si>
  <si>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</si>
  <si>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</si>
  <si>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</si>
  <si>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</si>
  <si>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</si>
  <si>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</si>
  <si>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</si>
  <si>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</si>
  <si>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</si>
  <si>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</si>
  <si>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</si>
  <si>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</si>
  <si>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</si>
  <si>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</si>
  <si>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</si>
  <si>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</si>
  <si>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</si>
  <si>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</si>
  <si>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</si>
  <si>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</si>
  <si>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</si>
  <si>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</si>
  <si>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</si>
  <si>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</si>
  <si>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</si>
  <si>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</si>
  <si>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</si>
  <si>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</si>
  <si>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</si>
  <si>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</si>
  <si>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</si>
  <si>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</si>
  <si>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</si>
  <si>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</si>
  <si>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</si>
  <si>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</si>
  <si>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</si>
  <si>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</si>
  <si>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</si>
  <si>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</si>
  <si>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</si>
  <si>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</si>
  <si>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</si>
  <si>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</si>
  <si>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</si>
  <si>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</si>
  <si>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</si>
  <si>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</si>
  <si>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</si>
  <si>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</si>
  <si>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</si>
  <si>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</si>
  <si>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</si>
  <si>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</si>
  <si>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</si>
  <si>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</si>
  <si>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</si>
  <si>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</si>
  <si>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</si>
  <si>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</si>
  <si>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</si>
  <si>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</si>
  <si>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</si>
  <si>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</si>
  <si>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</si>
  <si>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</si>
  <si>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</si>
  <si>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</si>
  <si>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</si>
  <si>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</si>
  <si>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</si>
  <si>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</si>
  <si>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</si>
  <si>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</si>
  <si>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</si>
  <si>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</si>
  <si>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</si>
  <si>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</si>
  <si>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</si>
  <si>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</si>
  <si>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</si>
  <si>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</si>
  <si>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</si>
  <si>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</si>
  <si>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</si>
  <si>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</si>
  <si>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</si>
  <si>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</si>
  <si>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</si>
  <si>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</si>
  <si>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</si>
  <si>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</si>
  <si>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</si>
  <si>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</si>
  <si>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</si>
  <si>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</si>
  <si>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</si>
  <si>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</si>
  <si>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</si>
  <si>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</si>
  <si>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</si>
  <si>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</si>
  <si>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</si>
  <si>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</si>
  <si>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</si>
  <si>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</si>
  <si>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</si>
  <si>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</si>
  <si>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</si>
  <si>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</si>
  <si>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</si>
  <si>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</si>
  <si>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</si>
  <si>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</si>
  <si>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</si>
  <si>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</si>
  <si>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</si>
  <si>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</si>
  <si>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</si>
  <si>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</si>
  <si>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</si>
  <si>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</si>
  <si>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</si>
  <si>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</si>
  <si>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</si>
  <si>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</si>
  <si>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</si>
  <si>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</si>
  <si>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</si>
  <si>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</si>
  <si>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</si>
  <si>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</si>
  <si>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</si>
  <si>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</si>
  <si>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</si>
  <si>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</si>
  <si>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</si>
  <si>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</si>
  <si>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</si>
  <si>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</si>
  <si>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</si>
  <si>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</si>
  <si>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</si>
  <si>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</si>
  <si>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</si>
  <si>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</si>
  <si>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</si>
  <si>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</si>
  <si>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</si>
  <si>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</si>
  <si>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</si>
  <si>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</si>
  <si>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</si>
  <si>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</si>
  <si>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</si>
  <si>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</si>
  <si>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</si>
  <si>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</si>
  <si>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</si>
  <si>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</si>
  <si>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</si>
  <si>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</si>
  <si>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</si>
  <si>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</si>
  <si>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</si>
  <si>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</si>
  <si>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</si>
  <si>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</si>
  <si>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</si>
  <si>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</si>
  <si>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</si>
  <si>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</si>
  <si>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</si>
  <si>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</si>
  <si>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</si>
  <si>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</si>
  <si>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</si>
  <si>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</si>
  <si>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</si>
  <si>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</si>
  <si>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</si>
  <si>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</si>
  <si>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</si>
  <si>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</si>
  <si>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</si>
  <si>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</si>
  <si>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</si>
  <si>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</si>
  <si>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</si>
  <si>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</si>
  <si>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</si>
  <si>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</si>
  <si>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</si>
  <si>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</si>
  <si>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</si>
  <si>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</si>
  <si>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</si>
  <si>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</si>
  <si>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</si>
  <si>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</si>
  <si>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</si>
  <si>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</si>
  <si>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</si>
  <si>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</si>
  <si>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</si>
  <si>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</si>
  <si>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</si>
  <si>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</si>
  <si>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</si>
  <si>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</si>
  <si>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</si>
  <si>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</si>
  <si>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</si>
  <si>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</si>
  <si>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</si>
  <si>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</si>
  <si>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</si>
  <si>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</si>
  <si>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</si>
  <si>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</si>
  <si>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</si>
  <si>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</si>
  <si>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</si>
  <si>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</si>
  <si>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</si>
  <si>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</si>
  <si>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</si>
  <si>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</si>
  <si>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</si>
  <si>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</si>
  <si>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</si>
  <si>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</si>
  <si>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</si>
  <si>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</si>
  <si>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</si>
  <si>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</si>
  <si>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</si>
  <si>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</si>
  <si>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</si>
  <si>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</si>
  <si>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</si>
  <si>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</si>
  <si>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</si>
  <si>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</si>
  <si>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</si>
  <si>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</si>
  <si>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</si>
  <si>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</si>
  <si>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</si>
  <si>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</si>
  <si>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</si>
  <si>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</si>
  <si>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</si>
  <si>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</si>
  <si>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</si>
  <si>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</si>
  <si>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</si>
  <si>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</si>
  <si>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</si>
  <si>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</si>
  <si>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</si>
  <si>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</si>
  <si>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Rommel Fence LLC</t>
  </si>
  <si>
    <t xml:space="preserve">17 Railroad St </t>
  </si>
  <si>
    <t>PO Box 367</t>
  </si>
  <si>
    <t>Poland, NY 13431</t>
  </si>
  <si>
    <t>Brianne Swanson</t>
  </si>
  <si>
    <t>Administrative Assistant</t>
  </si>
  <si>
    <t>Helpers, Construction Trades, All Other</t>
  </si>
  <si>
    <t>Construction and Related Workers, All Other</t>
  </si>
  <si>
    <t>47-3019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</si>
</sst>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11" fillId="4" borderId="2" xfId="0" applyFont="1" applyFill="1" applyBorder="1" applyAlignment="1" applyProtection="1">
      <alignment horizontal="left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542925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171450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swanson\AppData\Local\Packages\microsoft.windowscommunicationsapps_8wekyb3d8bbwe\LocalState\Files\S0\3\OGS%20-%20%20EEO101Const%5b520%5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xlsm]EEO-101-Construction Workforce "/>
      <sheetName val=".xlsm]Sheet2"/>
      <sheetName val=".xlsm]Sheet3"/>
      <sheetName val=".xlsm]County_State"/>
      <sheetName val=".xlsm]OGS -  EEO101Const[520]"/>
      <sheetName val=".xlsm]OGS -  EEO101Const[520]"/>
    </sheetNames>
    <definedNames>
      <definedName name="Submit"/>
    </definedNames>
    <sheetDataSet>
      <sheetData sheetId="0"/>
      <sheetData sheetId="1"/>
      <sheetData sheetId="2"/>
      <sheetData sheetId="3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C1" zoomScaleNormal="100" zoomScalePageLayoutView="96" workbookViewId="0">
      <selection activeCell="H24" sqref="H24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9.57031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8" t="s">
        <v>321</v>
      </c>
      <c r="J5" s="148"/>
      <c r="K5" s="148"/>
      <c r="L5" s="148"/>
      <c r="M5" s="148"/>
      <c r="N5" s="148"/>
      <c r="O5" s="148"/>
      <c r="P5" s="148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3"/>
      <c r="F6" s="161"/>
      <c r="G6" s="131"/>
      <c r="H6" s="40"/>
      <c r="I6" s="161"/>
      <c r="J6" s="161"/>
      <c r="K6" s="161"/>
      <c r="L6" s="161"/>
      <c r="M6" s="161"/>
      <c r="N6" s="161"/>
      <c r="O6" s="161"/>
      <c r="P6" s="16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31"/>
      <c r="R7" s="71"/>
      <c r="S7" s="43" t="s">
        <v>6</v>
      </c>
      <c r="T7" s="115"/>
      <c r="U7" s="70"/>
      <c r="V7" s="2"/>
      <c r="W7" s="2"/>
      <c r="X7" s="150" t="s">
        <v>1840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0" t="s">
        <v>1836</v>
      </c>
      <c r="E8" s="160"/>
      <c r="F8" s="160"/>
      <c r="G8" s="70"/>
      <c r="H8" s="41"/>
      <c r="I8" s="137"/>
      <c r="J8" s="162"/>
      <c r="K8" s="138"/>
      <c r="L8" s="137"/>
      <c r="M8" s="138"/>
      <c r="N8" s="130"/>
      <c r="O8" s="137"/>
      <c r="P8" s="138"/>
      <c r="Q8" s="131"/>
      <c r="R8" s="38"/>
      <c r="S8" s="43" t="s">
        <v>7</v>
      </c>
      <c r="T8" s="115"/>
      <c r="U8" s="53"/>
      <c r="V8" s="2"/>
      <c r="W8" s="2"/>
      <c r="X8" s="156" t="s">
        <v>1841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0" t="s">
        <v>1837</v>
      </c>
      <c r="E9" s="160"/>
      <c r="F9" s="160"/>
      <c r="G9" s="70"/>
      <c r="H9" s="41"/>
      <c r="I9" s="137"/>
      <c r="J9" s="162"/>
      <c r="K9" s="138"/>
      <c r="L9" s="137"/>
      <c r="M9" s="138"/>
      <c r="N9" s="130"/>
      <c r="O9" s="137"/>
      <c r="P9" s="138"/>
      <c r="Q9" s="131"/>
      <c r="R9" s="38"/>
      <c r="S9" s="43" t="s">
        <v>8</v>
      </c>
      <c r="T9" s="115"/>
      <c r="U9" s="70"/>
      <c r="V9" s="2"/>
      <c r="W9" s="2"/>
      <c r="X9" s="136">
        <v>43167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/>
      <c r="F10" s="32"/>
      <c r="G10" s="70"/>
      <c r="H10" s="41"/>
      <c r="I10" s="164"/>
      <c r="J10" s="164"/>
      <c r="K10" s="164"/>
      <c r="L10" s="164"/>
      <c r="M10" s="164"/>
      <c r="N10" s="126"/>
      <c r="O10" s="164"/>
      <c r="P10" s="164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1" t="s">
        <v>1839</v>
      </c>
      <c r="E11" s="172"/>
      <c r="F11" s="173"/>
      <c r="G11" s="53"/>
      <c r="H11" s="41"/>
      <c r="I11" s="164"/>
      <c r="J11" s="164"/>
      <c r="K11" s="164"/>
      <c r="L11" s="164"/>
      <c r="M11" s="164"/>
      <c r="N11" s="126"/>
      <c r="O11" s="164"/>
      <c r="P11" s="164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0"/>
      <c r="E13" s="151"/>
      <c r="F13" s="152"/>
      <c r="G13" s="114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0" t="s">
        <v>1835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7" t="s">
        <v>11</v>
      </c>
      <c r="D18" s="169" t="s">
        <v>9</v>
      </c>
      <c r="E18" s="167" t="s">
        <v>10</v>
      </c>
      <c r="F18" s="185" t="s">
        <v>1825</v>
      </c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7"/>
      <c r="AJ18" s="2"/>
      <c r="AK18" s="2"/>
    </row>
    <row r="19" spans="1:37" ht="46.5" customHeight="1" thickBot="1" x14ac:dyDescent="0.3">
      <c r="A19" s="2"/>
      <c r="B19" s="2"/>
      <c r="C19" s="168"/>
      <c r="D19" s="170"/>
      <c r="E19" s="168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80" t="s">
        <v>14</v>
      </c>
      <c r="AE19" s="181"/>
      <c r="AF19" s="181"/>
      <c r="AG19" s="181"/>
      <c r="AH19" s="181"/>
      <c r="AI19" s="182"/>
      <c r="AJ19" s="2"/>
      <c r="AK19" s="2"/>
    </row>
    <row r="20" spans="1:37" ht="15.75" thickBot="1" x14ac:dyDescent="0.3">
      <c r="A20" s="2"/>
      <c r="B20" s="2"/>
      <c r="C20" s="168"/>
      <c r="D20" s="170"/>
      <c r="E20" s="168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320</v>
      </c>
      <c r="D22" s="91" t="s">
        <v>1842</v>
      </c>
      <c r="E22" s="92" t="s">
        <v>1844</v>
      </c>
      <c r="F22" s="96">
        <v>5</v>
      </c>
      <c r="G22" s="96">
        <v>54</v>
      </c>
      <c r="H22" s="94">
        <v>1399.93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 t="s">
        <v>319</v>
      </c>
      <c r="D23" s="33" t="s">
        <v>1843</v>
      </c>
      <c r="E23" s="92" t="str">
        <f>IF(ISERROR(VLOOKUP(D23,Sheet3!$A$2:$B$821,2,FALSE)),"",(VLOOKUP(D23,Sheet3!$A$2:$B$821,2,FALSE)))</f>
        <v>47-4099</v>
      </c>
      <c r="F23" s="96">
        <v>1</v>
      </c>
      <c r="G23" s="96">
        <v>25</v>
      </c>
      <c r="H23" s="94">
        <v>739.5</v>
      </c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3"/>
      <c r="D38" s="153"/>
      <c r="E38" s="153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3"/>
      <c r="T38" s="183"/>
      <c r="U38" s="184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6</v>
      </c>
      <c r="G39" s="95">
        <f>SUM(G22:G37)</f>
        <v>79</v>
      </c>
      <c r="H39" s="113">
        <f>SUM(H22:H37)</f>
        <v>2139.4300000000003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4" t="s">
        <v>1829</v>
      </c>
      <c r="D43" s="175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6"/>
      <c r="D44" s="177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6"/>
      <c r="D45" s="177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6"/>
      <c r="D46" s="177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8"/>
      <c r="D47" s="179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scale="3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542925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1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171450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Sluus, Courtney</cp:lastModifiedBy>
  <cp:lastPrinted>2018-03-09T18:04:15Z</cp:lastPrinted>
  <dcterms:created xsi:type="dcterms:W3CDTF">2016-01-07T15:16:02Z</dcterms:created>
  <dcterms:modified xsi:type="dcterms:W3CDTF">2018-03-09T18:13:53Z</dcterms:modified>
</cp:coreProperties>
</file>