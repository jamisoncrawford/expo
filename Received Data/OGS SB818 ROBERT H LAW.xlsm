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8\2-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<sst xmlns="http://schemas.openxmlformats.org/spreadsheetml/2006/main" count="2110" uniqueCount="1846">
  <si>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</si>
  <si>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</si>
  <si>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</si>
  <si>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</si>
  <si>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</si>
  <si>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</si>
  <si>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</si>
  <si>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</si>
  <si>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</si>
  <si>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</si>
  <si>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</si>
  <si>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</si>
  <si>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</si>
  <si>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</si>
  <si>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</si>
  <si>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</si>
  <si>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</si>
  <si>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</si>
  <si>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</si>
  <si>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</si>
  <si>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</si>
  <si>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</si>
  <si>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</si>
  <si>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</si>
  <si>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</si>
  <si>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</si>
  <si>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</si>
  <si>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</si>
  <si>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</si>
  <si>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</si>
  <si>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</si>
  <si>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</si>
  <si>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</si>
  <si>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</si>
  <si>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</si>
  <si>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</si>
  <si>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</si>
  <si>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</si>
  <si>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</si>
  <si>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</si>
  <si>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</si>
  <si>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</si>
  <si>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</si>
  <si>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</si>
  <si>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</si>
  <si>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</si>
  <si>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</si>
  <si>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</si>
  <si>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</si>
  <si>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</si>
  <si>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</si>
  <si>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</si>
  <si>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</si>
  <si>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</si>
  <si>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</si>
  <si>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</si>
  <si>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</si>
  <si>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</si>
  <si>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</si>
  <si>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</si>
  <si>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</si>
  <si>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</si>
  <si>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</si>
  <si>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</si>
  <si>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</si>
  <si>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</si>
  <si>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</si>
  <si>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</si>
  <si>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</si>
  <si>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</si>
  <si>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</si>
  <si>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</si>
  <si>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</si>
  <si>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</si>
  <si>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</si>
  <si>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</si>
  <si>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</si>
  <si>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</si>
  <si>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</si>
  <si>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</si>
  <si>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</si>
  <si>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</si>
  <si>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</si>
  <si>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</si>
  <si>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</si>
  <si>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</si>
  <si>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</si>
  <si>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</si>
  <si>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</si>
  <si>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</si>
  <si>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</si>
  <si>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</si>
  <si>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</si>
  <si>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</si>
  <si>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</si>
  <si>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</si>
  <si>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</si>
  <si>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</si>
  <si>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</si>
  <si>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</si>
  <si>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</si>
  <si>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</si>
  <si>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</si>
  <si>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</si>
  <si>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</si>
  <si>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</si>
  <si>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</si>
  <si>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</si>
  <si>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</si>
  <si>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</si>
  <si>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</si>
  <si>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</si>
  <si>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</si>
  <si>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</si>
  <si>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</si>
  <si>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</si>
  <si>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</si>
  <si>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</si>
  <si>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</si>
  <si>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</si>
  <si>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</si>
  <si>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</si>
  <si>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</si>
  <si>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</si>
  <si>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</si>
  <si>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</si>
  <si>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</si>
  <si>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</si>
  <si>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</si>
  <si>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</si>
  <si>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</si>
  <si>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</si>
  <si>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</si>
  <si>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</si>
  <si>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</si>
  <si>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</si>
  <si>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</si>
  <si>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</si>
  <si>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</si>
  <si>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</si>
  <si>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</si>
  <si>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</si>
  <si>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</si>
  <si>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</si>
  <si>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</si>
  <si>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</si>
  <si>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</si>
  <si>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</si>
  <si>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</si>
  <si>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</si>
  <si>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</si>
  <si>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</si>
  <si>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</si>
  <si>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</si>
  <si>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</si>
  <si>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</si>
  <si>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</si>
  <si>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</si>
  <si>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</si>
  <si>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</si>
  <si>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</si>
  <si>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</si>
  <si>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</si>
  <si>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</si>
  <si>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</si>
  <si>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</si>
  <si>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</si>
  <si>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</si>
  <si>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</si>
  <si>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</si>
  <si>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</si>
  <si>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</si>
  <si>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</si>
  <si>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</si>
  <si>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</si>
  <si>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</si>
  <si>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</si>
  <si>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</si>
  <si>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</si>
  <si>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</si>
  <si>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</si>
  <si>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</si>
  <si>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</si>
  <si>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</si>
  <si>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</si>
  <si>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</si>
  <si>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</si>
  <si>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</si>
  <si>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</si>
  <si>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</si>
  <si>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</si>
  <si>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</si>
  <si>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</si>
  <si>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</si>
  <si>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</si>
  <si>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</si>
  <si>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</si>
  <si>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</si>
  <si>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</si>
  <si>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</si>
  <si>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</si>
  <si>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</si>
  <si>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</si>
  <si>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</si>
  <si>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</si>
  <si>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</si>
  <si>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</si>
  <si>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</si>
  <si>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</si>
  <si>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</si>
  <si>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</si>
  <si>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</si>
  <si>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</si>
  <si>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</si>
  <si>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</si>
  <si>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</si>
  <si>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</si>
  <si>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</si>
  <si>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</si>
  <si>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</si>
  <si>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</si>
  <si>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</si>
  <si>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</si>
  <si>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</si>
  <si>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</si>
  <si>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</si>
  <si>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</si>
  <si>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</si>
  <si>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</si>
  <si>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</si>
  <si>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</si>
  <si>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</si>
  <si>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</si>
  <si>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</si>
  <si>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</si>
  <si>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</si>
  <si>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</si>
  <si>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</si>
  <si>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</si>
  <si>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</si>
  <si>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</si>
  <si>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</si>
  <si>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</si>
  <si>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</si>
  <si>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</si>
  <si>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</si>
  <si>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</si>
  <si>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</si>
  <si>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</si>
  <si>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</si>
  <si>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</si>
  <si>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</si>
  <si>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</si>
  <si>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</si>
  <si>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</si>
  <si>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</si>
  <si>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</si>
  <si>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</si>
  <si>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</si>
  <si>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</si>
  <si>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</si>
  <si>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</si>
  <si>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</si>
  <si>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</si>
  <si>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</si>
  <si>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</si>
  <si>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</si>
  <si>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</si>
  <si>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</si>
  <si>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</si>
  <si>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</si>
  <si>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</si>
  <si>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</si>
  <si>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</si>
  <si>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</si>
  <si>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</si>
  <si>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</si>
  <si>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</si>
  <si>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</si>
  <si>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</si>
  <si>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</si>
  <si>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</si>
  <si>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</si>
  <si>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</si>
  <si>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</si>
  <si>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</si>
  <si>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</si>
  <si>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</si>
  <si>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</si>
  <si>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</si>
  <si>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</si>
  <si>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</si>
  <si>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</si>
  <si>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</si>
  <si>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</si>
  <si>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</si>
  <si>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</si>
  <si>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</si>
  <si>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</si>
  <si>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</si>
  <si>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</si>
  <si>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</si>
  <si>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</si>
  <si>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</si>
  <si>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</si>
  <si>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</si>
  <si>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</si>
  <si>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</si>
  <si>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</si>
  <si>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</si>
  <si>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</si>
  <si>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</si>
  <si>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</si>
  <si>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</si>
  <si>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</si>
  <si>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</si>
  <si>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</si>
  <si>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</si>
  <si>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</si>
  <si>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</si>
  <si>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</si>
  <si>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</si>
  <si>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</si>
  <si>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</si>
  <si>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</si>
  <si>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</si>
  <si>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</si>
  <si>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</si>
  <si>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</si>
  <si>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</si>
  <si>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</si>
  <si>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</si>
  <si>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</si>
  <si>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</si>
  <si>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</si>
  <si>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</si>
  <si>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</si>
  <si>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</si>
  <si>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</si>
  <si>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</si>
  <si>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</si>
  <si>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</si>
  <si>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</si>
  <si>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</si>
  <si>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</si>
  <si>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</si>
  <si>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</si>
  <si>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</si>
  <si>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</si>
  <si>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</si>
  <si>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</si>
  <si>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</si>
  <si>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</si>
  <si>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</si>
  <si>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</si>
  <si>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</si>
  <si>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</si>
  <si>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</si>
  <si>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</si>
  <si>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</si>
  <si>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</si>
  <si>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</si>
  <si>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</si>
  <si>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</si>
  <si>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</si>
  <si>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</si>
  <si>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</si>
  <si>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</si>
  <si>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</si>
  <si>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</si>
  <si>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</si>
  <si>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</si>
  <si>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</si>
  <si>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</si>
  <si>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</si>
  <si>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</si>
  <si>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</si>
  <si>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</si>
  <si>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</si>
  <si>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</si>
  <si>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</si>
  <si>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</si>
  <si>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</si>
  <si>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</si>
  <si>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</si>
  <si>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</si>
  <si>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</si>
  <si>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</si>
  <si>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</si>
  <si>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</si>
  <si>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</si>
  <si>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</si>
  <si>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</si>
  <si>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</si>
  <si>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</si>
  <si>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</si>
  <si>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</si>
  <si>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</si>
  <si>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</si>
  <si>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</si>
  <si>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</si>
  <si>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</si>
  <si>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</si>
  <si>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</si>
  <si>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</si>
  <si>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</si>
  <si>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</si>
  <si>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</si>
  <si>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</si>
  <si>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</si>
  <si>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</si>
  <si>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</si>
  <si>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</si>
  <si>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</si>
  <si>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</si>
  <si>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</si>
  <si>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</si>
  <si>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</si>
  <si>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</si>
  <si>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</si>
  <si>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</si>
  <si>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</si>
  <si>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</si>
  <si>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</si>
  <si>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</si>
  <si>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</si>
  <si>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</si>
  <si>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</si>
  <si>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</si>
  <si>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</si>
  <si>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</si>
  <si>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</si>
  <si>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</si>
  <si>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</si>
  <si>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</si>
  <si>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</si>
  <si>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</si>
  <si>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</si>
  <si>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</si>
  <si>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</si>
  <si>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</si>
  <si>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</si>
  <si>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</si>
  <si>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</si>
  <si>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</si>
  <si>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</si>
  <si>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</si>
  <si>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</si>
  <si>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</si>
  <si>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</si>
  <si>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</si>
  <si>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</si>
  <si>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</si>
  <si>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</si>
  <si>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</si>
  <si>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</si>
  <si>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</si>
  <si>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</si>
  <si>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</si>
  <si>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</si>
  <si>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</si>
  <si>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</si>
  <si>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</si>
  <si>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</si>
  <si>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</si>
  <si>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</si>
  <si>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</si>
  <si>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</si>
  <si>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</si>
  <si>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</si>
  <si>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</si>
  <si>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</si>
  <si>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</si>
  <si>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</si>
  <si>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</si>
  <si>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</si>
  <si>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</si>
  <si>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</si>
  <si>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</si>
  <si>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</si>
  <si>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</si>
  <si>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</si>
  <si>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</si>
  <si>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</si>
  <si>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</si>
  <si>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</si>
  <si>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</si>
  <si>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</si>
  <si>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</si>
  <si>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</si>
  <si>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</si>
  <si>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</si>
  <si>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</si>
  <si>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</si>
  <si>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</si>
  <si>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</si>
  <si>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</si>
  <si>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</si>
  <si>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</si>
  <si>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</si>
  <si>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</si>
  <si>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</si>
  <si>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</si>
  <si>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</si>
  <si>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</si>
  <si>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</si>
  <si>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</si>
  <si>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</si>
  <si>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</si>
  <si>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</si>
  <si>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</si>
  <si>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</si>
  <si>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</si>
  <si>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</si>
  <si>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</si>
  <si>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</si>
  <si>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</si>
  <si>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</si>
  <si>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</si>
  <si>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</si>
  <si>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</si>
  <si>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</si>
  <si>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</si>
  <si>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</si>
  <si>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</si>
  <si>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</si>
  <si>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</si>
  <si>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</si>
  <si>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</si>
  <si>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</si>
  <si>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</si>
  <si>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</si>
  <si>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</si>
  <si>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</si>
  <si>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</si>
  <si>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</si>
  <si>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</si>
  <si>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</si>
  <si>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</si>
  <si>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</si>
  <si>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</si>
  <si>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</si>
  <si>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</si>
  <si>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</si>
  <si>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</si>
  <si>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</si>
  <si>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</si>
  <si>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</si>
  <si>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</si>
  <si>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</si>
  <si>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</si>
  <si>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</si>
  <si>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</si>
  <si>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</si>
  <si>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</si>
  <si>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</si>
  <si>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</si>
  <si>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</si>
  <si>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</si>
  <si>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</si>
  <si>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</si>
  <si>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</si>
  <si>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</si>
  <si>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</si>
  <si>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</si>
  <si>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</si>
  <si>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</si>
  <si>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</si>
  <si>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</si>
  <si>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</si>
  <si>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</si>
  <si>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</si>
  <si>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</si>
  <si>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</si>
  <si>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</si>
  <si>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</si>
  <si>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</si>
  <si>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</si>
  <si>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</si>
  <si>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</si>
  <si>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</si>
  <si>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</si>
  <si>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</si>
  <si>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</si>
  <si>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</si>
  <si>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</si>
  <si>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</si>
  <si>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</si>
  <si>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</si>
  <si>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</si>
  <si>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</si>
  <si>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</si>
  <si>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</si>
  <si>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</si>
  <si>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</si>
  <si>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</si>
  <si>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</si>
  <si>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</si>
  <si>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</si>
  <si>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</si>
  <si>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</si>
  <si>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</si>
  <si>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</si>
  <si>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</si>
  <si>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</si>
  <si>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</si>
  <si>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</si>
  <si>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</si>
  <si>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</si>
  <si>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</si>
  <si>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</si>
  <si>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</si>
  <si>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</si>
  <si>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</si>
  <si>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</si>
  <si>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</si>
  <si>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</si>
  <si>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</si>
  <si>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</si>
  <si>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</si>
  <si>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</si>
  <si>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</si>
  <si>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</si>
  <si>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</si>
  <si>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</si>
  <si>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</si>
  <si>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</si>
  <si>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</si>
  <si>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</si>
  <si>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</si>
  <si>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</si>
  <si>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</si>
  <si>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</si>
  <si>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</si>
  <si>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</si>
  <si>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</si>
  <si>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</si>
  <si>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</si>
  <si>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</si>
  <si>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</si>
  <si>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</si>
  <si>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</si>
  <si>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</si>
  <si>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</si>
  <si>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</si>
  <si>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</si>
  <si>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</si>
  <si>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</si>
  <si>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</si>
  <si>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</si>
  <si>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</si>
  <si>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</si>
  <si>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</si>
  <si>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</si>
  <si>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</si>
  <si>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</si>
  <si>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</si>
  <si>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</si>
  <si>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</si>
  <si>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</si>
  <si>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</si>
  <si>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</si>
  <si>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</si>
  <si>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</si>
  <si>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</si>
  <si>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</si>
  <si>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</si>
  <si>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</si>
  <si>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</si>
  <si>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</si>
  <si>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</si>
  <si>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</si>
  <si>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</si>
  <si>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</si>
  <si>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</si>
  <si>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</si>
  <si>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</si>
  <si>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</si>
  <si>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</si>
  <si>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</si>
  <si>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</si>
  <si>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</si>
  <si>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</si>
  <si>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</si>
  <si>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</si>
  <si>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</si>
  <si>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</si>
  <si>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</si>
  <si>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</si>
  <si>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</si>
  <si>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</si>
  <si>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</si>
  <si>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</si>
  <si>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</si>
  <si>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</si>
  <si>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</si>
  <si>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</si>
  <si>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</si>
  <si>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</si>
  <si>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</si>
  <si>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</si>
  <si>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</si>
  <si>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</si>
  <si>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</si>
  <si>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</si>
  <si>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</si>
  <si>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</si>
  <si>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</si>
  <si>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</si>
  <si>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</si>
  <si>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</si>
  <si>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</si>
  <si>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</si>
  <si>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</si>
  <si>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</si>
  <si>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</si>
  <si>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</si>
  <si>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</si>
  <si>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</si>
  <si>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</si>
  <si>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</si>
  <si>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</si>
  <si>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</si>
  <si>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</si>
  <si>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</si>
  <si>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</si>
  <si>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</si>
  <si>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</si>
  <si>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</si>
  <si>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</si>
  <si>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</si>
  <si>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</si>
  <si>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</si>
  <si>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</si>
  <si>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</si>
  <si>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</si>
  <si>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</si>
  <si>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</si>
  <si>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</si>
  <si>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</si>
  <si>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</si>
  <si>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</si>
  <si>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</si>
  <si>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</si>
  <si>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</si>
  <si>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</si>
  <si>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</si>
  <si>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</si>
  <si>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</si>
  <si>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</si>
  <si>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</si>
  <si>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</si>
  <si>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</si>
  <si>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</si>
  <si>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</si>
  <si>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</si>
  <si>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</si>
  <si>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</si>
  <si>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</si>
  <si>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</si>
  <si>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</si>
  <si>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</si>
  <si>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</si>
  <si>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</si>
  <si>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</si>
  <si>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</si>
  <si>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</si>
  <si>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</si>
  <si>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</si>
  <si>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</si>
  <si>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</si>
  <si>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</si>
  <si>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</si>
  <si>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</si>
  <si>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</si>
  <si>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</si>
  <si>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</si>
  <si>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</si>
  <si>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</si>
  <si>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</si>
  <si>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</si>
  <si>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</si>
  <si>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</si>
  <si>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</si>
  <si>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</si>
  <si>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</si>
  <si>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</si>
  <si>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</si>
  <si>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</si>
  <si>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</si>
  <si>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</si>
  <si>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</si>
  <si>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</si>
  <si>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</si>
  <si>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</si>
  <si>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</si>
  <si>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</si>
  <si>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</si>
  <si>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</si>
  <si>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</si>
  <si>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</si>
  <si>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</si>
  <si>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</si>
  <si>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</si>
  <si>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</si>
  <si>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</si>
  <si>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</si>
  <si>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</si>
  <si>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</si>
  <si>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</si>
  <si>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</si>
  <si>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</si>
  <si>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</si>
  <si>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</si>
  <si>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</si>
  <si>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</si>
  <si>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</si>
  <si>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</si>
  <si>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</si>
  <si>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</si>
  <si>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</si>
  <si>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</si>
  <si>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</si>
  <si>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</si>
  <si>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</si>
  <si>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</si>
  <si>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</si>
  <si>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</si>
  <si>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</si>
  <si>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</si>
  <si>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</si>
  <si>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</si>
  <si>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</si>
  <si>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</si>
  <si>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</si>
  <si>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</si>
  <si>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</si>
  <si>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</si>
  <si>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</si>
  <si>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</si>
  <si>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</si>
  <si>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</si>
  <si>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</si>
  <si>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</si>
  <si>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</si>
  <si>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</si>
  <si>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</si>
  <si>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</si>
  <si>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</si>
  <si>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</si>
  <si>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</si>
  <si>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</si>
  <si>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</si>
  <si>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</si>
  <si>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</si>
  <si>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</si>
  <si>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</si>
  <si>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</si>
  <si>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</si>
  <si>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</si>
  <si>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</si>
  <si>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</si>
  <si>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</si>
  <si>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</si>
  <si>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</si>
  <si>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</si>
  <si>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</si>
  <si>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</si>
  <si>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</si>
  <si>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</si>
  <si>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</si>
  <si>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</si>
  <si>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</si>
  <si>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</si>
  <si>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</si>
  <si>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</si>
  <si>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</si>
  <si>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</si>
  <si>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</si>
  <si>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</si>
  <si>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</si>
  <si>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</si>
  <si>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</si>
  <si>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</si>
  <si>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</si>
  <si>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</si>
  <si>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</si>
  <si>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</si>
  <si>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</si>
  <si>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</si>
  <si>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</si>
  <si>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</si>
  <si>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</si>
  <si>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</si>
  <si>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</si>
  <si>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</si>
  <si>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</si>
  <si>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</si>
  <si>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</si>
  <si>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</si>
  <si>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</si>
  <si>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</si>
  <si>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</si>
  <si>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</si>
  <si>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</si>
  <si>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</si>
  <si>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</si>
  <si>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</si>
  <si>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</si>
  <si>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</si>
  <si>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</si>
  <si>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</si>
  <si>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</si>
  <si>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</si>
  <si>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</si>
  <si>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</si>
  <si>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</si>
  <si>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</si>
  <si>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</si>
  <si>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</si>
  <si>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</si>
  <si>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</si>
  <si>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</si>
  <si>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</si>
  <si>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</si>
  <si>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</si>
  <si>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</si>
  <si>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</si>
  <si>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</si>
  <si>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</si>
  <si>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</si>
  <si>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</si>
  <si>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</si>
  <si>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</si>
  <si>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</si>
  <si>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</si>
  <si>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</si>
  <si>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</si>
  <si>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</si>
  <si>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</si>
  <si>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</si>
  <si>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</si>
  <si>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</si>
  <si>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</si>
  <si>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</si>
  <si>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</si>
  <si>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</si>
  <si>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</si>
  <si>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</si>
  <si>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</si>
  <si>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</si>
  <si>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</si>
  <si>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</si>
  <si>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</si>
  <si>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</si>
  <si>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</si>
  <si>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</si>
  <si>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</si>
  <si>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</si>
  <si>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</si>
  <si>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</si>
  <si>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</si>
  <si>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</si>
  <si>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</si>
  <si>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</si>
  <si>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</si>
  <si>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</si>
  <si>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</si>
  <si>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</si>
  <si>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</si>
  <si>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</si>
  <si>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</si>
  <si>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</si>
  <si>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</si>
  <si>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</si>
  <si>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</si>
  <si>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</si>
  <si>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</si>
  <si>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</si>
  <si>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</si>
  <si>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</si>
  <si>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</si>
  <si>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</si>
  <si>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</si>
  <si>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</si>
  <si>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</si>
  <si>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</si>
  <si>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</si>
  <si>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</si>
  <si>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</si>
  <si>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</si>
  <si>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</si>
  <si>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</si>
  <si>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</si>
  <si>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</si>
  <si>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</si>
  <si>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</si>
  <si>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</si>
  <si>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</si>
  <si>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</si>
  <si>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</si>
  <si>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</si>
  <si>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</si>
  <si>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</si>
  <si>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</si>
  <si>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</si>
  <si>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</si>
  <si>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</si>
  <si>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</si>
  <si>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</si>
  <si>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</si>
  <si>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</si>
  <si>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</si>
  <si>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</si>
  <si>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</si>
  <si>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</si>
  <si>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</si>
  <si>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</si>
  <si>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</si>
  <si>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</si>
  <si>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</si>
  <si>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</si>
  <si>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</si>
  <si>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</si>
  <si>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</si>
  <si>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</si>
  <si>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</si>
  <si>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</si>
  <si>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</si>
  <si>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</si>
  <si>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</si>
  <si>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</si>
  <si>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</si>
  <si>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</si>
  <si>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</si>
  <si>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</si>
  <si>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</si>
  <si>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</si>
  <si>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</si>
  <si>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</si>
  <si>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</si>
  <si>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</si>
  <si>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</si>
  <si>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</si>
  <si>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</si>
  <si>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</si>
  <si>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</si>
  <si>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</si>
  <si>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</si>
  <si>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</si>
  <si>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</si>
  <si>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</si>
  <si>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</si>
  <si>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</si>
  <si>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</si>
  <si>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</si>
  <si>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</si>
  <si>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</si>
  <si>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</si>
  <si>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</si>
  <si>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</si>
  <si>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</si>
  <si>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</si>
  <si>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</si>
  <si>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</si>
  <si>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</si>
  <si>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</si>
  <si>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</si>
  <si>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</si>
  <si>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</si>
  <si>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</si>
  <si>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</si>
  <si>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</si>
  <si>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</si>
  <si>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</si>
  <si>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</si>
  <si>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</si>
  <si>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</si>
  <si>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</si>
  <si>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</si>
  <si>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</si>
  <si>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</si>
  <si>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</si>
  <si>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</si>
  <si>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</si>
  <si>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</si>
  <si>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</si>
  <si>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</si>
  <si>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</si>
  <si>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</si>
  <si>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</si>
  <si>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</si>
  <si>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</si>
  <si>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</si>
  <si>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</si>
  <si>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</si>
  <si>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</si>
  <si>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</si>
  <si>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</si>
  <si>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</si>
  <si>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</si>
  <si>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</si>
  <si>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</si>
  <si>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</si>
  <si>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</si>
  <si>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</si>
  <si>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</si>
  <si>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</si>
  <si>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</si>
  <si>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</si>
  <si>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</si>
  <si>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</si>
  <si>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</si>
  <si>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</si>
  <si>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</si>
  <si>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</si>
  <si>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</si>
  <si>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</si>
  <si>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</si>
  <si>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</si>
  <si>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</si>
  <si>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</si>
  <si>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</si>
  <si>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</si>
  <si>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</si>
  <si>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</si>
  <si>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</si>
  <si>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</si>
  <si>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</si>
  <si>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</si>
  <si>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</si>
  <si>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</si>
  <si>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</si>
  <si>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</si>
  <si>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</si>
  <si>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</si>
  <si>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</si>
  <si>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</si>
  <si>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</si>
  <si>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</si>
  <si>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</si>
  <si>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</si>
  <si>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</si>
  <si>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</si>
  <si>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</si>
  <si>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</si>
  <si>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</si>
  <si>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</si>
  <si>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</si>
  <si>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</si>
  <si>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</si>
  <si>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</si>
  <si>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</si>
  <si>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</si>
  <si>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</si>
  <si>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</si>
  <si>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</si>
  <si>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</si>
  <si>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</si>
  <si>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</si>
  <si>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</si>
  <si>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</si>
  <si>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</si>
  <si>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</si>
  <si>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</si>
  <si>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</si>
  <si>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</si>
  <si>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</si>
  <si>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</si>
  <si>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</si>
  <si>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</si>
  <si>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</si>
  <si>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</si>
  <si>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</si>
  <si>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</si>
  <si>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</si>
  <si>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</si>
  <si>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</si>
  <si>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</si>
  <si>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</si>
  <si>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</si>
  <si>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</si>
  <si>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</si>
  <si>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</si>
  <si>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</si>
  <si>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</si>
  <si>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</si>
  <si>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</si>
  <si>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</si>
  <si>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</si>
  <si>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</si>
  <si>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</si>
  <si>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</si>
  <si>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</si>
  <si>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</si>
  <si>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</si>
  <si>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</si>
  <si>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</si>
  <si>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</si>
  <si>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</si>
  <si>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</si>
  <si>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</si>
  <si>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</si>
  <si>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</si>
  <si>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</si>
  <si>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</si>
  <si>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</si>
  <si>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</si>
  <si>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</si>
  <si>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</si>
  <si>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</si>
  <si>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</si>
  <si>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</si>
  <si>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</si>
  <si>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</si>
  <si>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</si>
  <si>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</si>
  <si>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</si>
  <si>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</si>
  <si>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</si>
  <si>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</si>
  <si>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</si>
  <si>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</si>
  <si>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</si>
  <si>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</si>
  <si>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</si>
  <si>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</si>
  <si>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</si>
  <si>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</si>
  <si>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</si>
  <si>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</si>
  <si>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</si>
  <si>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</si>
  <si>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</si>
  <si>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</si>
  <si>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</si>
  <si>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</si>
  <si>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</si>
  <si>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</si>
  <si>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</si>
  <si>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</si>
  <si>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</si>
  <si>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</si>
  <si>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</si>
  <si>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</si>
  <si>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</si>
  <si>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</si>
  <si>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</si>
  <si>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</si>
  <si>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</si>
  <si>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</si>
  <si>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</si>
  <si>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</si>
  <si>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</si>
  <si>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</si>
  <si>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</si>
  <si>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</si>
  <si>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</si>
  <si>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</si>
  <si>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</si>
  <si>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</si>
  <si>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</si>
  <si>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</si>
  <si>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</si>
  <si>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</si>
  <si>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</si>
  <si>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</si>
  <si>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</si>
  <si>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</si>
  <si>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</si>
  <si>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</si>
  <si>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</si>
  <si>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</si>
  <si>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</si>
  <si>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</si>
  <si>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</si>
  <si>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</si>
  <si>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</si>
  <si>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</si>
  <si>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</si>
  <si>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</si>
  <si>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</si>
  <si>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</si>
  <si>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</si>
  <si>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</si>
  <si>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</si>
  <si>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</si>
  <si>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</si>
  <si>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</si>
  <si>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</si>
  <si>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</si>
  <si>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</si>
  <si>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</si>
  <si>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</si>
  <si>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</si>
  <si>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</si>
  <si>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</si>
  <si>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</si>
  <si>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</si>
  <si>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</si>
  <si>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</si>
  <si>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</si>
  <si>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</si>
  <si>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</si>
  <si>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</si>
  <si>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</si>
  <si>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</si>
  <si>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</si>
  <si>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</si>
  <si>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</si>
  <si>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</si>
  <si>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</si>
  <si>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</si>
  <si>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</si>
  <si>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</si>
  <si>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</si>
  <si>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</si>
  <si>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</si>
  <si>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</si>
  <si>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</si>
  <si>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</si>
  <si>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</si>
  <si>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</si>
  <si>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</si>
  <si>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</si>
  <si>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</si>
  <si>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</si>
  <si>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</si>
  <si>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</si>
  <si>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</si>
  <si>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</si>
  <si>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</si>
  <si>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</si>
  <si>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</si>
  <si>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</si>
  <si>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</si>
  <si>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</si>
  <si>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</si>
  <si>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</si>
  <si>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</si>
  <si>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</si>
  <si>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</si>
  <si>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</si>
  <si>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</si>
  <si>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</si>
  <si>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</si>
  <si>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</si>
  <si>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</si>
  <si>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</si>
  <si>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</si>
  <si>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</si>
  <si>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</si>
  <si>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</si>
  <si>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</si>
  <si>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</si>
  <si>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</si>
  <si>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</si>
  <si>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</si>
  <si>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</si>
  <si>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</si>
  <si>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</si>
  <si>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</si>
  <si>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</si>
  <si>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</si>
  <si>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</si>
  <si>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</si>
  <si>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</si>
  <si>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</si>
  <si>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</si>
  <si>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</si>
  <si>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</si>
  <si>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</si>
  <si>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</si>
  <si>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</si>
  <si>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</si>
  <si>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</si>
  <si>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</si>
  <si>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</si>
  <si>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</si>
  <si>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</si>
  <si>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</si>
  <si>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</si>
  <si>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</si>
  <si>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</si>
  <si>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</si>
  <si>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</si>
  <si>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</si>
  <si>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</si>
  <si>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</si>
  <si>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</si>
  <si>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</si>
  <si>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</si>
  <si>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</si>
  <si>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</si>
  <si>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</si>
  <si>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</si>
  <si>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</si>
  <si>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</si>
  <si>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</si>
  <si>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</si>
  <si>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</si>
  <si>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</si>
  <si>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</si>
  <si>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</si>
  <si>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</si>
  <si>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</si>
  <si>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</si>
  <si>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</si>
  <si>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</si>
  <si>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</si>
  <si>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</si>
  <si>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</si>
  <si>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</si>
  <si>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</si>
  <si>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</si>
  <si>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</si>
  <si>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</si>
  <si>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</si>
  <si>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</si>
  <si>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</si>
  <si>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</si>
  <si>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</si>
  <si>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</si>
  <si>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</si>
  <si>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</si>
  <si>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</si>
  <si>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</si>
  <si>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</si>
  <si>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</si>
  <si>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</si>
  <si>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</si>
  <si>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</si>
  <si>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</si>
  <si>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</si>
  <si>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</si>
  <si>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</si>
  <si>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</si>
  <si>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</si>
  <si>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</si>
  <si>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</si>
  <si>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</si>
  <si>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</si>
  <si>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</si>
  <si>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</si>
  <si>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</si>
  <si>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</si>
  <si>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</si>
  <si>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</si>
  <si>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</si>
  <si>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</si>
  <si>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</si>
  <si>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</si>
  <si>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</si>
  <si>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</si>
  <si>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</si>
  <si>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</si>
  <si>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</si>
  <si>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</si>
  <si>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</si>
  <si>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</si>
  <si>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</si>
  <si>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</si>
  <si>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</si>
  <si>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</si>
  <si>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</si>
  <si>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</si>
  <si>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</si>
  <si>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</si>
  <si>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</si>
  <si>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</si>
  <si>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</si>
  <si>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</si>
  <si>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</si>
  <si>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</si>
  <si>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</si>
  <si>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</si>
  <si>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</si>
  <si>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</si>
  <si>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</si>
  <si>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</si>
  <si>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</si>
  <si>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</si>
  <si>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</si>
  <si>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</si>
  <si>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</si>
  <si>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</si>
  <si>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</si>
  <si>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</si>
  <si>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</si>
  <si>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</si>
  <si>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</si>
  <si>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</si>
  <si>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</si>
  <si>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</si>
  <si>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</si>
  <si>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</si>
  <si>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</si>
  <si>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</si>
  <si>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</si>
  <si>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</si>
  <si>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</si>
  <si>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</si>
  <si>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</si>
  <si>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</si>
  <si>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</si>
  <si>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</si>
  <si>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</si>
  <si>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</si>
  <si>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</si>
  <si>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</si>
  <si>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</si>
  <si>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</si>
  <si>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</si>
  <si>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</si>
  <si>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</si>
  <si>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</si>
  <si>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</si>
  <si>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</si>
  <si>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</si>
  <si>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</si>
  <si>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</si>
  <si>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</si>
  <si>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</si>
  <si>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</si>
  <si>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</si>
  <si>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</si>
  <si>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</si>
  <si>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</si>
  <si>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</si>
  <si>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</si>
  <si>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</si>
  <si>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</si>
  <si>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</si>
  <si>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</si>
  <si>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</si>
  <si>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</si>
  <si>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</si>
  <si>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</si>
  <si>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</si>
  <si>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</si>
  <si>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</si>
  <si>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</si>
  <si>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</si>
  <si>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</si>
  <si>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</si>
  <si>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</si>
  <si>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</si>
  <si>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</si>
  <si>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</si>
  <si>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</si>
  <si>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</si>
  <si>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</si>
  <si>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</si>
  <si>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</si>
  <si>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</si>
  <si>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</si>
  <si>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</si>
  <si>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</si>
  <si>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</si>
  <si>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</si>
  <si>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</si>
  <si>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</si>
  <si>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</si>
  <si>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</si>
  <si>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</si>
  <si>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</si>
  <si>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</si>
  <si>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</si>
  <si>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</si>
  <si>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</si>
  <si>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</si>
  <si>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</si>
  <si>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</si>
  <si>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</si>
  <si>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</si>
  <si>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</si>
  <si>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</si>
  <si>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</si>
  <si>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</si>
  <si>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</si>
  <si>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</si>
  <si>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</si>
  <si>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</si>
  <si>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</si>
  <si>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</si>
  <si>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</si>
  <si>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</si>
  <si>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</si>
  <si>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</si>
  <si>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</si>
  <si>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</si>
  <si>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</si>
  <si>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</si>
  <si>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</si>
  <si>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</si>
  <si>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</si>
  <si>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</si>
  <si>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</si>
  <si>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</si>
  <si>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</si>
  <si>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</si>
  <si>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</si>
  <si>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</si>
  <si>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</si>
  <si>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</si>
  <si>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</si>
  <si>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</si>
  <si>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</si>
  <si>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</si>
  <si>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</si>
  <si>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</si>
  <si>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</si>
  <si>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</si>
  <si>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</si>
  <si>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</si>
  <si>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</si>
  <si>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</si>
  <si>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</si>
  <si>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</si>
  <si>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</si>
  <si>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</si>
  <si>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</si>
  <si>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</si>
  <si>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</si>
  <si>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</si>
  <si>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</si>
  <si>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</si>
  <si>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</si>
  <si>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</si>
  <si>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</si>
  <si>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</si>
  <si>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</si>
  <si>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</si>
  <si>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</si>
  <si>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</si>
  <si>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</si>
  <si>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</si>
  <si>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</si>
  <si>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</si>
  <si>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</si>
  <si>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</si>
  <si>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</si>
  <si>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</si>
  <si>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</si>
  <si>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</si>
  <si>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</si>
  <si>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</si>
  <si>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</si>
  <si>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</si>
  <si>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</si>
  <si>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</si>
  <si>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</si>
  <si>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</si>
  <si>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</si>
  <si>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</si>
  <si>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</si>
  <si>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</si>
  <si>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</si>
  <si>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</si>
  <si>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</si>
  <si>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</si>
  <si>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</si>
  <si>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</si>
  <si>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</si>
  <si>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</si>
  <si>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</si>
  <si>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</si>
  <si>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</si>
  <si>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</si>
  <si>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</si>
  <si>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</si>
  <si>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</si>
  <si>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</si>
  <si>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</si>
  <si>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</si>
  <si>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</si>
  <si>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</si>
  <si>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</si>
  <si>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</si>
  <si>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</si>
  <si>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</si>
  <si>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</si>
  <si>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</si>
  <si>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</si>
  <si>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</si>
  <si>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</si>
  <si>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</si>
  <si>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</si>
  <si>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</si>
  <si>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</si>
  <si>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</si>
  <si>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</si>
  <si>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</si>
  <si>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</si>
  <si>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</si>
  <si>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</si>
  <si>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</si>
  <si>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</si>
  <si>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</si>
  <si>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</si>
  <si>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</si>
  <si>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</si>
  <si>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</si>
  <si>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</si>
  <si>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</si>
  <si>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</si>
  <si>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</si>
  <si>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</si>
  <si>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</si>
  <si>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</si>
  <si>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</si>
  <si>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</si>
  <si>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</si>
  <si>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</si>
  <si>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</si>
  <si>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</si>
  <si>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</si>
  <si>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</si>
  <si>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</si>
  <si>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</si>
  <si>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</si>
  <si>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</si>
  <si>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</si>
  <si>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</si>
  <si>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</si>
  <si>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</si>
  <si>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</si>
  <si>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</si>
  <si>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</si>
  <si>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</si>
  <si>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</si>
  <si>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</si>
  <si>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</si>
  <si>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</si>
  <si>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</si>
  <si>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</si>
  <si>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</si>
  <si>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</si>
  <si>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</si>
  <si>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</si>
  <si>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</si>
  <si>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</si>
  <si>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</si>
  <si>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</si>
  <si>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</si>
  <si>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</si>
  <si>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</si>
  <si>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</si>
  <si>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</si>
  <si>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</si>
  <si>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</si>
  <si>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</si>
  <si>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</si>
  <si>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</si>
  <si>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</si>
  <si>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</si>
  <si>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</si>
  <si>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</si>
  <si>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</si>
  <si>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</si>
  <si>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</si>
  <si>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</si>
  <si>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</si>
  <si>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</si>
  <si>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</si>
  <si>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</si>
  <si>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</si>
  <si>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</si>
  <si>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</si>
  <si>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</si>
  <si>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</si>
  <si>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</si>
  <si>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</si>
  <si>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</si>
  <si>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</si>
  <si>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</si>
  <si>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</si>
  <si>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</si>
  <si>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</si>
  <si>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</si>
  <si>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</si>
  <si>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</si>
  <si>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</si>
  <si>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</si>
  <si>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</si>
  <si>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</si>
  <si>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</si>
  <si>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</si>
  <si>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</si>
  <si>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</si>
  <si>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</si>
  <si>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</si>
  <si>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</si>
  <si>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</si>
  <si>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</si>
  <si>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</si>
  <si>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</si>
  <si>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</si>
  <si>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</si>
  <si>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</si>
  <si>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</si>
  <si>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</si>
  <si>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</si>
  <si>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</si>
  <si>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</si>
  <si>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</si>
  <si>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</si>
  <si>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</si>
  <si>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</si>
  <si>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</si>
  <si>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</si>
  <si>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</si>
  <si>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</si>
  <si>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</si>
  <si>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</si>
  <si>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</si>
  <si>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</si>
  <si>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</si>
  <si>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</si>
  <si>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</si>
  <si>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</si>
  <si>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</si>
  <si>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</si>
  <si>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</si>
  <si>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</si>
  <si>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</si>
  <si>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</si>
  <si>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</si>
  <si>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</si>
  <si>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</si>
  <si>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</si>
  <si>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</si>
  <si>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</si>
  <si>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</si>
  <si>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</si>
  <si>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</si>
  <si>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Robert H. Law, Inc.</t>
  </si>
  <si>
    <t>6883 Schuyler Road</t>
  </si>
  <si>
    <t>East Syracuse, New York 13057</t>
  </si>
  <si>
    <t>16-0914715</t>
  </si>
  <si>
    <t>Nicole Shiesley</t>
  </si>
  <si>
    <t>Controller</t>
  </si>
  <si>
    <t>Construction and Related Workers, All Other</t>
  </si>
  <si>
    <t>47-4099</t>
  </si>
  <si>
    <t>Bookkeeping, Accounting, and Auditing Clerks</t>
  </si>
  <si>
    <t>Payroll and Timekeeping Clerks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</si>
</sst>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388620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Normal="100" zoomScalePageLayoutView="96" workbookViewId="0">
      <selection activeCell="B17" sqref="A16:B17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886718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321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1840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1841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43172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/>
      <c r="F10" s="32"/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7" t="s">
        <v>1839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1835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1825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1826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1842</v>
      </c>
      <c r="E22" s="92" t="s">
        <v>1843</v>
      </c>
      <c r="F22" s="96">
        <v>8</v>
      </c>
      <c r="G22" s="96">
        <v>766.5</v>
      </c>
      <c r="H22" s="94">
        <v>19758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355</v>
      </c>
      <c r="E23" s="92" t="str">
        <f>IF(ISERROR(VLOOKUP(D23,Sheet3!$A$2:$B$821,2,FALSE)),"",(VLOOKUP(D23,Sheet3!$A$2:$B$821,2,FALSE)))</f>
        <v>53-7032</v>
      </c>
      <c r="F23" s="96">
        <v>2</v>
      </c>
      <c r="G23" s="96">
        <v>355</v>
      </c>
      <c r="H23" s="94">
        <v>13281</v>
      </c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 t="s">
        <v>318</v>
      </c>
      <c r="D24" s="33" t="s">
        <v>1844</v>
      </c>
      <c r="E24" s="92" t="str">
        <f>IF(ISERROR(VLOOKUP(D24,Sheet3!$A$2:$B$821,2,FALSE)),"",(VLOOKUP(D24,Sheet3!$A$2:$B$821,2,FALSE)))</f>
        <v>43-3031</v>
      </c>
      <c r="F24" s="96"/>
      <c r="G24" s="96"/>
      <c r="H24" s="94"/>
      <c r="I24" s="96">
        <v>1</v>
      </c>
      <c r="J24" s="96">
        <v>5</v>
      </c>
      <c r="K24" s="94">
        <v>156</v>
      </c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 t="s">
        <v>318</v>
      </c>
      <c r="D25" s="33" t="s">
        <v>1845</v>
      </c>
      <c r="E25" s="92" t="str">
        <f>IF(ISERROR(VLOOKUP(D25,Sheet3!$A$2:$B$821,2,FALSE)),"",(VLOOKUP(D25,Sheet3!$A$2:$B$821,2,FALSE)))</f>
        <v>43-3051</v>
      </c>
      <c r="F25" s="96"/>
      <c r="G25" s="96"/>
      <c r="H25" s="94"/>
      <c r="I25" s="96">
        <v>1</v>
      </c>
      <c r="J25" s="96">
        <v>2.5</v>
      </c>
      <c r="K25" s="94">
        <v>60</v>
      </c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10</v>
      </c>
      <c r="G39" s="95">
        <f>SUM(G22:G37)</f>
        <v>1121.5</v>
      </c>
      <c r="H39" s="113">
        <f>SUM(H22:H37)</f>
        <v>33039</v>
      </c>
      <c r="I39" s="95">
        <f t="shared" ref="I39:AG39" si="0">SUM(I22:I37)</f>
        <v>2</v>
      </c>
      <c r="J39" s="95">
        <f t="shared" si="0"/>
        <v>7.5</v>
      </c>
      <c r="K39" s="113">
        <f t="shared" si="0"/>
        <v>216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1829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xWindow="396" yWindow="337"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388620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396" yWindow="337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40.799999999999997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ht="20.399999999999999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ht="20.399999999999999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ht="20.399999999999999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ht="20.399999999999999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30.6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30.6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ht="20.399999999999999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ht="20.399999999999999" x14ac:dyDescent="0.3">
      <c r="A618" s="63" t="s">
        <v>51</v>
      </c>
      <c r="B618" s="63" t="s">
        <v>1528</v>
      </c>
    </row>
    <row r="619" spans="1:2" ht="30.6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30.6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ht="20.399999999999999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2018-03-13T18:26:38Z</cp:lastPrinted>
  <dcterms:created xsi:type="dcterms:W3CDTF">2016-01-07T15:16:02Z</dcterms:created>
  <dcterms:modified xsi:type="dcterms:W3CDTF">2018-03-15T19:29:39Z</dcterms:modified>
</cp:coreProperties>
</file>