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3- March 2018\"/>
    </mc:Choice>
  </mc:AlternateContent>
  <bookViews>
    <workbookView xWindow="0" yWindow="0" windowWidth="15360" windowHeight="840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<sst xmlns="http://schemas.openxmlformats.org/spreadsheetml/2006/main" count="2107" uniqueCount="1845">
  <si>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</si>
  <si>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</si>
  <si>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</si>
  <si>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</si>
  <si>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</si>
  <si>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</si>
  <si>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</si>
  <si>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</si>
  <si>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</si>
  <si>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</si>
  <si>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</si>
  <si>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</si>
  <si>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</si>
  <si>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</si>
  <si>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</si>
  <si>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</si>
  <si>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</si>
  <si>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</si>
  <si>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</si>
  <si>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</si>
  <si>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</si>
  <si>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</si>
  <si>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</si>
  <si>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</si>
  <si>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</si>
  <si>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</si>
  <si>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</si>
  <si>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</si>
  <si>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</si>
  <si>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</si>
  <si>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</si>
  <si>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</si>
  <si>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</si>
  <si>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</si>
  <si>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</si>
  <si>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</si>
  <si>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</si>
  <si>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</si>
  <si>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</si>
  <si>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</si>
  <si>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</si>
  <si>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</si>
  <si>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</si>
  <si>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</si>
  <si>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</si>
  <si>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</si>
  <si>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</si>
  <si>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</si>
  <si>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</si>
  <si>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</si>
  <si>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</si>
  <si>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</si>
  <si>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</si>
  <si>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</si>
  <si>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</si>
  <si>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</si>
  <si>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</si>
  <si>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</si>
  <si>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</si>
  <si>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</si>
  <si>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</si>
  <si>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</si>
  <si>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</si>
  <si>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</si>
  <si>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</si>
  <si>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</si>
  <si>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</si>
  <si>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</si>
  <si>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</si>
  <si>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</si>
  <si>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</si>
  <si>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</si>
  <si>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</si>
  <si>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</si>
  <si>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</si>
  <si>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</si>
  <si>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</si>
  <si>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</si>
  <si>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</si>
  <si>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</si>
  <si>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</si>
  <si>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</si>
  <si>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</si>
  <si>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</si>
  <si>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</si>
  <si>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</si>
  <si>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</si>
  <si>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</si>
  <si>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</si>
  <si>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</si>
  <si>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</si>
  <si>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</si>
  <si>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</si>
  <si>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</si>
  <si>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</si>
  <si>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</si>
  <si>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</si>
  <si>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</si>
  <si>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</si>
  <si>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</si>
  <si>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</si>
  <si>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</si>
  <si>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</si>
  <si>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</si>
  <si>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</si>
  <si>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</si>
  <si>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</si>
  <si>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</si>
  <si>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</si>
  <si>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</si>
  <si>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</si>
  <si>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</si>
  <si>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</si>
  <si>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</si>
  <si>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</si>
  <si>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</si>
  <si>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</si>
  <si>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</si>
  <si>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</si>
  <si>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</si>
  <si>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</si>
  <si>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</si>
  <si>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</si>
  <si>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</si>
  <si>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</si>
  <si>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</si>
  <si>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</si>
  <si>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</si>
  <si>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</si>
  <si>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</si>
  <si>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</si>
  <si>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</si>
  <si>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</si>
  <si>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</si>
  <si>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</si>
  <si>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</si>
  <si>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</si>
  <si>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</si>
  <si>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</si>
  <si>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</si>
  <si>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</si>
  <si>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</si>
  <si>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</si>
  <si>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</si>
  <si>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</si>
  <si>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</si>
  <si>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</si>
  <si>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</si>
  <si>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</si>
  <si>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</si>
  <si>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</si>
  <si>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</si>
  <si>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</si>
  <si>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</si>
  <si>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</si>
  <si>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</si>
  <si>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</si>
  <si>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</si>
  <si>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</si>
  <si>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</si>
  <si>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</si>
  <si>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</si>
  <si>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</si>
  <si>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</si>
  <si>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</si>
  <si>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</si>
  <si>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</si>
  <si>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</si>
  <si>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</si>
  <si>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</si>
  <si>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</si>
  <si>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</si>
  <si>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</si>
  <si>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</si>
  <si>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</si>
  <si>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</si>
  <si>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</si>
  <si>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</si>
  <si>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</si>
  <si>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</si>
  <si>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</si>
  <si>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</si>
  <si>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</si>
  <si>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</si>
  <si>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</si>
  <si>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</si>
  <si>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</si>
  <si>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</si>
  <si>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</si>
  <si>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</si>
  <si>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</si>
  <si>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</si>
  <si>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</si>
  <si>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</si>
  <si>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</si>
  <si>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</si>
  <si>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</si>
  <si>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</si>
  <si>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</si>
  <si>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</si>
  <si>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</si>
  <si>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</si>
  <si>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</si>
  <si>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</si>
  <si>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</si>
  <si>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</si>
  <si>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</si>
  <si>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</si>
  <si>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</si>
  <si>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</si>
  <si>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</si>
  <si>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</si>
  <si>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</si>
  <si>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</si>
  <si>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</si>
  <si>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</si>
  <si>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</si>
  <si>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</si>
  <si>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</si>
  <si>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</si>
  <si>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</si>
  <si>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</si>
  <si>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</si>
  <si>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</si>
  <si>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</si>
  <si>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</si>
  <si>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</si>
  <si>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</si>
  <si>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</si>
  <si>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</si>
  <si>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</si>
  <si>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</si>
  <si>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</si>
  <si>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</si>
  <si>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</si>
  <si>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</si>
  <si>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</si>
  <si>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</si>
  <si>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</si>
  <si>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</si>
  <si>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</si>
  <si>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</si>
  <si>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</si>
  <si>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</si>
  <si>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</si>
  <si>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</si>
  <si>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</si>
  <si>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</si>
  <si>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</si>
  <si>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</si>
  <si>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</si>
  <si>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</si>
  <si>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</si>
  <si>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</si>
  <si>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</si>
  <si>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</si>
  <si>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</si>
  <si>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</si>
  <si>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</si>
  <si>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</si>
  <si>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</si>
  <si>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</si>
  <si>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</si>
  <si>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</si>
  <si>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</si>
  <si>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</si>
  <si>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</si>
  <si>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</si>
  <si>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</si>
  <si>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</si>
  <si>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</si>
  <si>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</si>
  <si>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</si>
  <si>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</si>
  <si>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</si>
  <si>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</si>
  <si>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</si>
  <si>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</si>
  <si>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</si>
  <si>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</si>
  <si>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</si>
  <si>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</si>
  <si>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</si>
  <si>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</si>
  <si>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</si>
  <si>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</si>
  <si>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</si>
  <si>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</si>
  <si>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</si>
  <si>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</si>
  <si>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</si>
  <si>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</si>
  <si>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</si>
  <si>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</si>
  <si>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</si>
  <si>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</si>
  <si>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</si>
  <si>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</si>
  <si>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</si>
  <si>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</si>
  <si>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</si>
  <si>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</si>
  <si>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</si>
  <si>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</si>
  <si>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</si>
  <si>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</si>
  <si>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</si>
  <si>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</si>
  <si>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</si>
  <si>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</si>
  <si>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</si>
  <si>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</si>
  <si>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</si>
  <si>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</si>
  <si>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</si>
  <si>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</si>
  <si>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</si>
  <si>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</si>
  <si>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</si>
  <si>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</si>
  <si>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</si>
  <si>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</si>
  <si>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</si>
  <si>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</si>
  <si>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</si>
  <si>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</si>
  <si>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</si>
  <si>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</si>
  <si>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</si>
  <si>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</si>
  <si>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</si>
  <si>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</si>
  <si>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</si>
  <si>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</si>
  <si>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</si>
  <si>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</si>
  <si>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</si>
  <si>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</si>
  <si>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</si>
  <si>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</si>
  <si>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</si>
  <si>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</si>
  <si>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</si>
  <si>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</si>
  <si>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</si>
  <si>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</si>
  <si>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</si>
  <si>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</si>
  <si>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</si>
  <si>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</si>
  <si>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</si>
  <si>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</si>
  <si>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</si>
  <si>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</si>
  <si>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</si>
  <si>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</si>
  <si>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</si>
  <si>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</si>
  <si>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</si>
  <si>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</si>
  <si>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</si>
  <si>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</si>
  <si>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</si>
  <si>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</si>
  <si>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</si>
  <si>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</si>
  <si>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</si>
  <si>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</si>
  <si>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</si>
  <si>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</si>
  <si>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</si>
  <si>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</si>
  <si>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</si>
  <si>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</si>
  <si>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</si>
  <si>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</si>
  <si>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</si>
  <si>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</si>
  <si>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</si>
  <si>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</si>
  <si>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</si>
  <si>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</si>
  <si>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</si>
  <si>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</si>
  <si>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</si>
  <si>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</si>
  <si>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</si>
  <si>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</si>
  <si>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</si>
  <si>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</si>
  <si>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</si>
  <si>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</si>
  <si>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</si>
  <si>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</si>
  <si>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</si>
  <si>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</si>
  <si>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</si>
  <si>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</si>
  <si>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</si>
  <si>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</si>
  <si>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</si>
  <si>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</si>
  <si>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</si>
  <si>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</si>
  <si>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</si>
  <si>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</si>
  <si>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</si>
  <si>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</si>
  <si>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</si>
  <si>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</si>
  <si>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</si>
  <si>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</si>
  <si>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</si>
  <si>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</si>
  <si>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</si>
  <si>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</si>
  <si>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</si>
  <si>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</si>
  <si>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</si>
  <si>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</si>
  <si>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</si>
  <si>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</si>
  <si>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</si>
  <si>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</si>
  <si>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</si>
  <si>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</si>
  <si>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</si>
  <si>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</si>
  <si>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</si>
  <si>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</si>
  <si>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</si>
  <si>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</si>
  <si>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</si>
  <si>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</si>
  <si>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</si>
  <si>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</si>
  <si>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</si>
  <si>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</si>
  <si>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</si>
  <si>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</si>
  <si>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</si>
  <si>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</si>
  <si>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</si>
  <si>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</si>
  <si>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</si>
  <si>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</si>
  <si>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</si>
  <si>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</si>
  <si>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</si>
  <si>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</si>
  <si>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</si>
  <si>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</si>
  <si>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</si>
  <si>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</si>
  <si>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</si>
  <si>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</si>
  <si>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</si>
  <si>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</si>
  <si>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</si>
  <si>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</si>
  <si>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</si>
  <si>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</si>
  <si>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</si>
  <si>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</si>
  <si>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</si>
  <si>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</si>
  <si>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</si>
  <si>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</si>
  <si>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</si>
  <si>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</si>
  <si>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</si>
  <si>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</si>
  <si>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</si>
  <si>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</si>
  <si>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</si>
  <si>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</si>
  <si>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</si>
  <si>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</si>
  <si>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</si>
  <si>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</si>
  <si>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</si>
  <si>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</si>
  <si>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</si>
  <si>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</si>
  <si>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</si>
  <si>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</si>
  <si>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</si>
  <si>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</si>
  <si>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</si>
  <si>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</si>
  <si>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</si>
  <si>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</si>
  <si>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</si>
  <si>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</si>
  <si>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</si>
  <si>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</si>
  <si>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</si>
  <si>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</si>
  <si>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</si>
  <si>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</si>
  <si>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</si>
  <si>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</si>
  <si>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</si>
  <si>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</si>
  <si>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</si>
  <si>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</si>
  <si>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</si>
  <si>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</si>
  <si>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</si>
  <si>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</si>
  <si>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</si>
  <si>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</si>
  <si>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</si>
  <si>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</si>
  <si>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</si>
  <si>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</si>
  <si>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</si>
  <si>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</si>
  <si>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</si>
  <si>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</si>
  <si>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</si>
  <si>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</si>
  <si>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</si>
  <si>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</si>
  <si>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</si>
  <si>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</si>
  <si>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</si>
  <si>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</si>
  <si>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</si>
  <si>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</si>
  <si>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</si>
  <si>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</si>
  <si>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</si>
  <si>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</si>
  <si>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</si>
  <si>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</si>
  <si>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</si>
  <si>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</si>
  <si>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</si>
  <si>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</si>
  <si>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</si>
  <si>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</si>
  <si>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</si>
  <si>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</si>
  <si>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</si>
  <si>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</si>
  <si>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</si>
  <si>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</si>
  <si>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</si>
  <si>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</si>
  <si>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</si>
  <si>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</si>
  <si>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</si>
  <si>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</si>
  <si>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</si>
  <si>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</si>
  <si>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</si>
  <si>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</si>
  <si>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</si>
  <si>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</si>
  <si>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</si>
  <si>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</si>
  <si>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</si>
  <si>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</si>
  <si>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</si>
  <si>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</si>
  <si>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</si>
  <si>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</si>
  <si>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</si>
  <si>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</si>
  <si>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</si>
  <si>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</si>
  <si>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</si>
  <si>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</si>
  <si>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</si>
  <si>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</si>
  <si>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</si>
  <si>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</si>
  <si>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</si>
  <si>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</si>
  <si>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</si>
  <si>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</si>
  <si>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</si>
  <si>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</si>
  <si>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</si>
  <si>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</si>
  <si>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</si>
  <si>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</si>
  <si>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</si>
  <si>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</si>
  <si>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</si>
  <si>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</si>
  <si>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</si>
  <si>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</si>
  <si>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</si>
  <si>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</si>
  <si>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</si>
  <si>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</si>
  <si>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</si>
  <si>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</si>
  <si>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</si>
  <si>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</si>
  <si>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</si>
  <si>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</si>
  <si>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</si>
  <si>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</si>
  <si>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</si>
  <si>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</si>
  <si>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</si>
  <si>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</si>
  <si>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</si>
  <si>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</si>
  <si>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</si>
  <si>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</si>
  <si>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</si>
  <si>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</si>
  <si>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</si>
  <si>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</si>
  <si>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</si>
  <si>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</si>
  <si>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</si>
  <si>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</si>
  <si>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</si>
  <si>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</si>
  <si>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</si>
  <si>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</si>
  <si>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</si>
  <si>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</si>
  <si>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</si>
  <si>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</si>
  <si>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</si>
  <si>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</si>
  <si>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</si>
  <si>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</si>
  <si>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</si>
  <si>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</si>
  <si>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</si>
  <si>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</si>
  <si>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</si>
  <si>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</si>
  <si>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</si>
  <si>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</si>
  <si>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</si>
  <si>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</si>
  <si>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</si>
  <si>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</si>
  <si>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</si>
  <si>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</si>
  <si>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</si>
  <si>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</si>
  <si>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</si>
  <si>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</si>
  <si>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</si>
  <si>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</si>
  <si>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</si>
  <si>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</si>
  <si>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</si>
  <si>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</si>
  <si>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</si>
  <si>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</si>
  <si>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</si>
  <si>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</si>
  <si>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</si>
  <si>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</si>
  <si>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</si>
  <si>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</si>
  <si>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</si>
  <si>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</si>
  <si>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</si>
  <si>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</si>
  <si>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</si>
  <si>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</si>
  <si>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</si>
  <si>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</si>
  <si>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</si>
  <si>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</si>
  <si>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</si>
  <si>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</si>
  <si>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</si>
  <si>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</si>
  <si>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</si>
  <si>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</si>
  <si>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</si>
  <si>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</si>
  <si>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</si>
  <si>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</si>
  <si>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</si>
  <si>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</si>
  <si>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</si>
  <si>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</si>
  <si>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</si>
  <si>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</si>
  <si>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</si>
  <si>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</si>
  <si>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</si>
  <si>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</si>
  <si>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</si>
  <si>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</si>
  <si>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</si>
  <si>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</si>
  <si>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</si>
  <si>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</si>
  <si>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</si>
  <si>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</si>
  <si>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</si>
  <si>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</si>
  <si>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</si>
  <si>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</si>
  <si>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</si>
  <si>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</si>
  <si>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</si>
  <si>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</si>
  <si>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</si>
  <si>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</si>
  <si>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</si>
  <si>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</si>
  <si>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</si>
  <si>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</si>
  <si>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</si>
  <si>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</si>
  <si>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</si>
  <si>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</si>
  <si>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</si>
  <si>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</si>
  <si>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</si>
  <si>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</si>
  <si>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</si>
  <si>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</si>
  <si>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</si>
  <si>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</si>
  <si>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</si>
  <si>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</si>
  <si>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</si>
  <si>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</si>
  <si>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</si>
  <si>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</si>
  <si>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</si>
  <si>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</si>
  <si>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</si>
  <si>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</si>
  <si>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</si>
  <si>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</si>
  <si>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</si>
  <si>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</si>
  <si>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</si>
  <si>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</si>
  <si>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</si>
  <si>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</si>
  <si>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</si>
  <si>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</si>
  <si>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</si>
  <si>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</si>
  <si>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</si>
  <si>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</si>
  <si>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</si>
  <si>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</si>
  <si>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</si>
  <si>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</si>
  <si>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</si>
  <si>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</si>
  <si>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</si>
  <si>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</si>
  <si>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</si>
  <si>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</si>
  <si>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</si>
  <si>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</si>
  <si>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</si>
  <si>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</si>
  <si>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</si>
  <si>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</si>
  <si>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</si>
  <si>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</si>
  <si>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</si>
  <si>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</si>
  <si>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</si>
  <si>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</si>
  <si>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</si>
  <si>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</si>
  <si>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</si>
  <si>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</si>
  <si>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</si>
  <si>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</si>
  <si>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</si>
  <si>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</si>
  <si>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</si>
  <si>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</si>
  <si>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</si>
  <si>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</si>
  <si>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</si>
  <si>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</si>
  <si>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</si>
  <si>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</si>
  <si>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</si>
  <si>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</si>
  <si>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</si>
  <si>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</si>
  <si>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</si>
  <si>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</si>
  <si>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</si>
  <si>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</si>
  <si>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</si>
  <si>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</si>
  <si>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</si>
  <si>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</si>
  <si>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</si>
  <si>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</si>
  <si>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</si>
  <si>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</si>
  <si>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</si>
  <si>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</si>
  <si>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</si>
  <si>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</si>
  <si>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</si>
  <si>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</si>
  <si>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</si>
  <si>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</si>
  <si>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</si>
  <si>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</si>
  <si>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</si>
  <si>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</si>
  <si>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</si>
  <si>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</si>
  <si>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</si>
  <si>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</si>
  <si>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</si>
  <si>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</si>
  <si>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</si>
  <si>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</si>
  <si>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</si>
  <si>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</si>
  <si>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</si>
  <si>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</si>
  <si>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</si>
  <si>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</si>
  <si>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</si>
  <si>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</si>
  <si>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</si>
  <si>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</si>
  <si>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</si>
  <si>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</si>
  <si>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</si>
  <si>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</si>
  <si>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</si>
  <si>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</si>
  <si>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</si>
  <si>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</si>
  <si>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</si>
  <si>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</si>
  <si>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</si>
  <si>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</si>
  <si>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</si>
  <si>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</si>
  <si>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</si>
  <si>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</si>
  <si>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</si>
  <si>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</si>
  <si>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</si>
  <si>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</si>
  <si>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</si>
  <si>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</si>
  <si>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</si>
  <si>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</si>
  <si>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</si>
  <si>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</si>
  <si>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</si>
  <si>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</si>
  <si>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</si>
  <si>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</si>
  <si>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</si>
  <si>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</si>
  <si>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</si>
  <si>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</si>
  <si>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</si>
  <si>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</si>
  <si>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</si>
  <si>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</si>
  <si>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</si>
  <si>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</si>
  <si>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</si>
  <si>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</si>
  <si>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</si>
  <si>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</si>
  <si>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</si>
  <si>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</si>
  <si>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</si>
  <si>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</si>
  <si>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</si>
  <si>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</si>
  <si>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</si>
  <si>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</si>
  <si>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</si>
  <si>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</si>
  <si>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</si>
  <si>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</si>
  <si>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</si>
  <si>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</si>
  <si>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</si>
  <si>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</si>
  <si>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</si>
  <si>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</si>
  <si>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</si>
  <si>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</si>
  <si>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</si>
  <si>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</si>
  <si>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</si>
  <si>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</si>
  <si>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</si>
  <si>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</si>
  <si>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</si>
  <si>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</si>
  <si>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</si>
  <si>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</si>
  <si>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</si>
  <si>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</si>
  <si>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</si>
  <si>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</si>
  <si>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</si>
  <si>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</si>
  <si>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</si>
  <si>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</si>
  <si>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</si>
  <si>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</si>
  <si>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</si>
  <si>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</si>
  <si>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</si>
  <si>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</si>
  <si>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</si>
  <si>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</si>
  <si>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</si>
  <si>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</si>
  <si>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</si>
  <si>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</si>
  <si>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</si>
  <si>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</si>
  <si>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</si>
  <si>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</si>
  <si>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</si>
  <si>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</si>
  <si>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</si>
  <si>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</si>
  <si>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</si>
  <si>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</si>
  <si>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</si>
  <si>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</si>
  <si>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</si>
  <si>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</si>
  <si>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</si>
  <si>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</si>
  <si>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</si>
  <si>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</si>
  <si>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</si>
  <si>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</si>
  <si>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</si>
  <si>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</si>
  <si>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</si>
  <si>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</si>
  <si>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</si>
  <si>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</si>
  <si>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</si>
  <si>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</si>
  <si>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</si>
  <si>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</si>
  <si>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</si>
  <si>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</si>
  <si>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</si>
  <si>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</si>
  <si>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</si>
  <si>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</si>
  <si>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</si>
  <si>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</si>
  <si>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</si>
  <si>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</si>
  <si>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</si>
  <si>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</si>
  <si>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</si>
  <si>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</si>
  <si>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</si>
  <si>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</si>
  <si>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</si>
  <si>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</si>
  <si>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</si>
  <si>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</si>
  <si>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</si>
  <si>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</si>
  <si>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</si>
  <si>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</si>
  <si>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</si>
  <si>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</si>
  <si>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</si>
  <si>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</si>
  <si>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</si>
  <si>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</si>
  <si>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</si>
  <si>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</si>
  <si>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</si>
  <si>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</si>
  <si>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</si>
  <si>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</si>
  <si>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</si>
  <si>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</si>
  <si>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</si>
  <si>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</si>
  <si>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</si>
  <si>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</si>
  <si>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</si>
  <si>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</si>
  <si>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</si>
  <si>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</si>
  <si>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</si>
  <si>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</si>
  <si>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</si>
  <si>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</si>
  <si>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</si>
  <si>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</si>
  <si>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</si>
  <si>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</si>
  <si>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</si>
  <si>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</si>
  <si>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</si>
  <si>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</si>
  <si>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</si>
  <si>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</si>
  <si>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</si>
  <si>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</si>
  <si>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</si>
  <si>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</si>
  <si>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</si>
  <si>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</si>
  <si>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</si>
  <si>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</si>
  <si>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</si>
  <si>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</si>
  <si>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</si>
  <si>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</si>
  <si>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</si>
  <si>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</si>
  <si>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</si>
  <si>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</si>
  <si>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</si>
  <si>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</si>
  <si>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</si>
  <si>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</si>
  <si>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</si>
  <si>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</si>
  <si>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</si>
  <si>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</si>
  <si>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</si>
  <si>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</si>
  <si>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</si>
  <si>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</si>
  <si>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</si>
  <si>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</si>
  <si>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</si>
  <si>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</si>
  <si>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</si>
  <si>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</si>
  <si>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</si>
  <si>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</si>
  <si>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</si>
  <si>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</si>
  <si>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</si>
  <si>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</si>
  <si>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</si>
  <si>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</si>
  <si>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</si>
  <si>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</si>
  <si>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</si>
  <si>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</si>
  <si>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</si>
  <si>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</si>
  <si>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</si>
  <si>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</si>
  <si>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</si>
  <si>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</si>
  <si>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</si>
  <si>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</si>
  <si>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</si>
  <si>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</si>
  <si>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</si>
  <si>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</si>
  <si>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</si>
  <si>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</si>
  <si>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</si>
  <si>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</si>
  <si>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</si>
  <si>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</si>
  <si>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</si>
  <si>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</si>
  <si>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</si>
  <si>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</si>
  <si>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</si>
  <si>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</si>
  <si>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</si>
  <si>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</si>
  <si>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</si>
  <si>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</si>
  <si>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</si>
  <si>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</si>
  <si>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</si>
  <si>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</si>
  <si>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</si>
  <si>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</si>
  <si>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</si>
  <si>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</si>
  <si>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</si>
  <si>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</si>
  <si>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</si>
  <si>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</si>
  <si>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</si>
  <si>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</si>
  <si>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</si>
  <si>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</si>
  <si>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</si>
  <si>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</si>
  <si>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</si>
  <si>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</si>
  <si>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</si>
  <si>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</si>
  <si>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</si>
  <si>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</si>
  <si>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</si>
  <si>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</si>
  <si>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</si>
  <si>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</si>
  <si>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</si>
  <si>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</si>
  <si>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</si>
  <si>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</si>
  <si>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</si>
  <si>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</si>
  <si>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</si>
  <si>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</si>
  <si>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</si>
  <si>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</si>
  <si>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</si>
  <si>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</si>
  <si>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</si>
  <si>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</si>
  <si>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</si>
  <si>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</si>
  <si>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</si>
  <si>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</si>
  <si>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</si>
  <si>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</si>
  <si>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</si>
  <si>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</si>
  <si>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</si>
  <si>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</si>
  <si>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</si>
  <si>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</si>
  <si>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</si>
  <si>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</si>
  <si>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</si>
  <si>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</si>
  <si>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</si>
  <si>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</si>
  <si>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</si>
  <si>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</si>
  <si>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</si>
  <si>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</si>
  <si>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</si>
  <si>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</si>
  <si>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</si>
  <si>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</si>
  <si>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</si>
  <si>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</si>
  <si>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</si>
  <si>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</si>
  <si>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</si>
  <si>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</si>
  <si>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</si>
  <si>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</si>
  <si>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</si>
  <si>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</si>
  <si>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</si>
  <si>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</si>
  <si>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</si>
  <si>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</si>
  <si>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</si>
  <si>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</si>
  <si>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</si>
  <si>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</si>
  <si>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</si>
  <si>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</si>
  <si>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</si>
  <si>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</si>
  <si>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</si>
  <si>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</si>
  <si>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</si>
  <si>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</si>
  <si>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</si>
  <si>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</si>
  <si>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</si>
  <si>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</si>
  <si>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</si>
  <si>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</si>
  <si>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</si>
  <si>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</si>
  <si>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</si>
  <si>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</si>
  <si>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</si>
  <si>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</si>
  <si>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</si>
  <si>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</si>
  <si>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</si>
  <si>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</si>
  <si>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</si>
  <si>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</si>
  <si>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</si>
  <si>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</si>
  <si>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</si>
  <si>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</si>
  <si>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</si>
  <si>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</si>
  <si>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</si>
  <si>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</si>
  <si>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</si>
  <si>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</si>
  <si>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</si>
  <si>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</si>
  <si>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</si>
  <si>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</si>
  <si>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</si>
  <si>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</si>
  <si>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</si>
  <si>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</si>
  <si>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</si>
  <si>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</si>
  <si>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</si>
  <si>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</si>
  <si>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</si>
  <si>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</si>
  <si>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</si>
  <si>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</si>
  <si>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</si>
  <si>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</si>
  <si>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</si>
  <si>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</si>
  <si>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</si>
  <si>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</si>
  <si>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</si>
  <si>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</si>
  <si>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</si>
  <si>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</si>
  <si>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</si>
  <si>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</si>
  <si>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</si>
  <si>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</si>
  <si>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</si>
  <si>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</si>
  <si>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</si>
  <si>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</si>
  <si>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</si>
  <si>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</si>
  <si>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</si>
  <si>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</si>
  <si>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</si>
  <si>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</si>
  <si>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</si>
  <si>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</si>
  <si>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</si>
  <si>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</si>
  <si>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</si>
  <si>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</si>
  <si>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</si>
  <si>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</si>
  <si>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</si>
  <si>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</si>
  <si>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</si>
  <si>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</si>
  <si>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</si>
  <si>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</si>
  <si>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</si>
  <si>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</si>
  <si>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</si>
  <si>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</si>
  <si>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</si>
  <si>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</si>
  <si>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</si>
  <si>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</si>
  <si>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</si>
  <si>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</si>
  <si>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</si>
  <si>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</si>
  <si>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</si>
  <si>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</si>
  <si>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</si>
  <si>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</si>
  <si>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</si>
  <si>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</si>
  <si>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</si>
  <si>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</si>
  <si>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</si>
  <si>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</si>
  <si>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</si>
  <si>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</si>
  <si>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</si>
  <si>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</si>
  <si>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</si>
  <si>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</si>
  <si>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</si>
  <si>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</si>
  <si>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</si>
  <si>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</si>
  <si>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</si>
  <si>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</si>
  <si>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</si>
  <si>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</si>
  <si>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</si>
  <si>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</si>
  <si>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</si>
  <si>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</si>
  <si>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</si>
  <si>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</si>
  <si>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</si>
  <si>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</si>
  <si>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</si>
  <si>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</si>
  <si>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</si>
  <si>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</si>
  <si>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</si>
  <si>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</si>
  <si>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</si>
  <si>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</si>
  <si>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</si>
  <si>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</si>
  <si>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</si>
  <si>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</si>
  <si>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</si>
  <si>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</si>
  <si>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</si>
  <si>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</si>
  <si>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</si>
  <si>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</si>
  <si>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</si>
  <si>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</si>
  <si>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</si>
  <si>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</si>
  <si>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</si>
  <si>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</si>
  <si>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</si>
  <si>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</si>
  <si>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</si>
  <si>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</si>
  <si>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</si>
  <si>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</si>
  <si>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</si>
  <si>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</si>
  <si>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</si>
  <si>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</si>
  <si>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</si>
  <si>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</si>
  <si>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</si>
  <si>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</si>
  <si>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</si>
  <si>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</si>
  <si>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</si>
  <si>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</si>
  <si>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</si>
  <si>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</si>
  <si>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</si>
  <si>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</si>
  <si>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</si>
  <si>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</si>
  <si>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</si>
  <si>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</si>
  <si>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</si>
  <si>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</si>
  <si>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</si>
  <si>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</si>
  <si>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</si>
  <si>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</si>
  <si>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</si>
  <si>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</si>
  <si>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</si>
  <si>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</si>
  <si>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</si>
  <si>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</si>
  <si>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</si>
  <si>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</si>
  <si>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</si>
  <si>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</si>
  <si>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</si>
  <si>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</si>
  <si>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</si>
  <si>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</si>
  <si>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</si>
  <si>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</si>
  <si>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</si>
  <si>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</si>
  <si>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</si>
  <si>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</si>
  <si>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</si>
  <si>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</si>
  <si>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</si>
  <si>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</si>
  <si>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</si>
  <si>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</si>
  <si>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</si>
  <si>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</si>
  <si>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</si>
  <si>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</si>
  <si>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</si>
  <si>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</si>
  <si>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</si>
  <si>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</si>
  <si>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</si>
  <si>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</si>
  <si>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</si>
  <si>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</si>
  <si>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</si>
  <si>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</si>
  <si>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</si>
  <si>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</si>
  <si>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</si>
  <si>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</si>
  <si>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</si>
  <si>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</si>
  <si>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</si>
  <si>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</si>
  <si>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</si>
  <si>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</si>
  <si>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</si>
  <si>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</si>
  <si>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</si>
  <si>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</si>
  <si>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</si>
  <si>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</si>
  <si>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</si>
  <si>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</si>
  <si>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</si>
  <si>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</si>
  <si>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</si>
  <si>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</si>
  <si>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</si>
  <si>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</si>
  <si>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</si>
  <si>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</si>
  <si>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</si>
  <si>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</si>
  <si>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</si>
  <si>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</si>
  <si>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</si>
  <si>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</si>
  <si>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</si>
  <si>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</si>
  <si>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</si>
  <si>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</si>
  <si>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</si>
  <si>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</si>
  <si>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</si>
  <si>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</si>
  <si>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</si>
  <si>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</si>
  <si>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</si>
  <si>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</si>
  <si>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</si>
  <si>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</si>
  <si>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</si>
  <si>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</si>
  <si>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</si>
  <si>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</si>
  <si>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</si>
  <si>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</si>
  <si>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</si>
  <si>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</si>
  <si>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</si>
  <si>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</si>
  <si>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</si>
  <si>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</si>
  <si>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</si>
  <si>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</si>
  <si>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</si>
  <si>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</si>
  <si>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</si>
  <si>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</si>
  <si>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</si>
  <si>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</si>
  <si>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</si>
  <si>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</si>
  <si>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</si>
  <si>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</si>
  <si>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</si>
  <si>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</si>
  <si>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</si>
  <si>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</si>
  <si>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</si>
  <si>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</si>
  <si>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</si>
  <si>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</si>
  <si>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</si>
  <si>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</si>
  <si>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</si>
  <si>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</si>
  <si>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</si>
  <si>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</si>
  <si>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</si>
  <si>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</si>
  <si>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</si>
  <si>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</si>
  <si>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</si>
  <si>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</si>
  <si>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</si>
  <si>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</si>
  <si>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</si>
  <si>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</si>
  <si>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</si>
  <si>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</si>
  <si>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</si>
  <si>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</si>
  <si>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</si>
  <si>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</si>
  <si>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</si>
  <si>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</si>
  <si>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</si>
  <si>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</si>
  <si>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</si>
  <si>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</si>
  <si>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</si>
  <si>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</si>
  <si>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</si>
  <si>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</si>
  <si>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</si>
  <si>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</si>
  <si>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</si>
  <si>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</si>
  <si>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</si>
  <si>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</si>
  <si>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</si>
  <si>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</si>
  <si>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</si>
  <si>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</si>
  <si>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</si>
  <si>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</si>
  <si>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</si>
  <si>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</si>
  <si>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</si>
  <si>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</si>
  <si>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</si>
  <si>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</si>
  <si>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</si>
  <si>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</si>
  <si>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</si>
  <si>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</si>
  <si>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</si>
  <si>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</si>
  <si>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</si>
  <si>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</si>
  <si>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</si>
  <si>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</si>
  <si>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</si>
  <si>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</si>
  <si>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</si>
  <si>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</si>
  <si>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</si>
  <si>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</si>
  <si>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</si>
  <si>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</si>
  <si>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</si>
  <si>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</si>
  <si>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</si>
  <si>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</si>
  <si>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</si>
  <si>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</si>
  <si>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</si>
  <si>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</si>
  <si>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</si>
  <si>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</si>
  <si>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</si>
  <si>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</si>
  <si>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</si>
  <si>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</si>
  <si>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</si>
  <si>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</si>
  <si>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</si>
  <si>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</si>
  <si>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</si>
  <si>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</si>
  <si>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</si>
  <si>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</si>
  <si>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</si>
  <si>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</si>
  <si>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</si>
  <si>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</si>
  <si>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</si>
  <si>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</si>
  <si>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</si>
  <si>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</si>
  <si>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</si>
  <si>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</si>
  <si>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</si>
  <si>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</si>
  <si>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</si>
  <si>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</si>
  <si>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</si>
  <si>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</si>
  <si>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</si>
  <si>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</si>
  <si>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</si>
  <si>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</si>
  <si>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</si>
  <si>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</si>
  <si>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</si>
  <si>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</si>
  <si>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</si>
  <si>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</si>
  <si>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</si>
  <si>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</si>
  <si>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</si>
  <si>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</si>
  <si>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</si>
  <si>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</si>
  <si>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</si>
  <si>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</si>
  <si>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</si>
  <si>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</si>
  <si>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</si>
  <si>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</si>
  <si>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</si>
  <si>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</si>
  <si>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</si>
  <si>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</si>
  <si>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</si>
  <si>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</si>
  <si>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</si>
  <si>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</si>
  <si>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</si>
  <si>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</si>
  <si>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</si>
  <si>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</si>
  <si>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</si>
  <si>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</si>
  <si>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</si>
  <si>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</si>
  <si>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</si>
  <si>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</si>
  <si>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</si>
  <si>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</si>
  <si>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</si>
  <si>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</si>
  <si>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</si>
  <si>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</si>
  <si>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</si>
  <si>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</si>
  <si>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</si>
  <si>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</si>
  <si>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</si>
  <si>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</si>
  <si>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</si>
  <si>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</si>
  <si>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</si>
  <si>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</si>
  <si>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</si>
  <si>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</si>
  <si>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</si>
  <si>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</si>
  <si>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</si>
  <si>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</si>
  <si>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</si>
  <si>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</si>
  <si>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</si>
  <si>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</si>
  <si>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</si>
  <si>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</si>
  <si>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</si>
  <si>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</si>
  <si>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</si>
  <si>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</si>
  <si>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</si>
  <si>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</si>
  <si>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</si>
  <si>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</si>
  <si>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</si>
  <si>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</si>
  <si>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</si>
  <si>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</si>
  <si>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</si>
  <si>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</si>
  <si>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</si>
  <si>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</si>
  <si>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</si>
  <si>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</si>
  <si>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</si>
  <si>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</si>
  <si>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</si>
  <si>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</si>
  <si>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</si>
  <si>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</si>
  <si>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</si>
  <si>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</si>
  <si>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</si>
  <si>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</si>
  <si>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</si>
  <si>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</si>
  <si>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</si>
  <si>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</si>
  <si>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</si>
  <si>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</si>
  <si>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</si>
  <si>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</si>
  <si>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</si>
  <si>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</si>
  <si>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</si>
  <si>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</si>
  <si>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</si>
  <si>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</si>
  <si>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</si>
  <si>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</si>
  <si>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</si>
  <si>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</si>
  <si>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</si>
  <si>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</si>
  <si>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</si>
  <si>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</si>
  <si>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</si>
  <si>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</si>
  <si>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</si>
  <si>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</si>
  <si>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</si>
  <si>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</si>
  <si>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</si>
  <si>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</si>
  <si>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</si>
  <si>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</si>
  <si>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</si>
  <si>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</si>
  <si>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</si>
  <si>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</si>
  <si>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</si>
  <si>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</si>
  <si>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</si>
  <si>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</si>
  <si>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</si>
  <si>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</si>
  <si>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</si>
  <si>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</si>
  <si>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</si>
  <si>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</si>
  <si>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</si>
  <si>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</si>
  <si>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</si>
  <si>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</si>
  <si>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</si>
  <si>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</si>
  <si>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</si>
  <si>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</si>
  <si>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</si>
  <si>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</si>
  <si>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</si>
  <si>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</si>
  <si>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</si>
  <si>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</si>
  <si>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</si>
  <si>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</si>
  <si>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</si>
  <si>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</si>
  <si>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</si>
  <si>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</si>
  <si>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</si>
  <si>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</si>
  <si>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</si>
  <si>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</si>
  <si>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</si>
  <si>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</si>
  <si>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</si>
  <si>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</si>
  <si>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</si>
  <si>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</si>
  <si>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</si>
  <si>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</si>
  <si>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</si>
  <si>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</si>
  <si>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</si>
  <si>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</si>
  <si>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</si>
  <si>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</si>
  <si>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</si>
  <si>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</si>
  <si>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</si>
  <si>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</si>
  <si>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</si>
  <si>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</si>
  <si>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</si>
  <si>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</si>
  <si>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</si>
  <si>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</si>
  <si>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</si>
  <si>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</si>
  <si>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</si>
  <si>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</si>
  <si>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</si>
  <si>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</si>
  <si>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</si>
  <si>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</si>
  <si>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</si>
  <si>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</si>
  <si>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</si>
  <si>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</si>
  <si>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</si>
  <si>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</si>
  <si>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</si>
  <si>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</si>
  <si>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</si>
  <si>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</si>
  <si>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</si>
  <si>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</si>
  <si>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</si>
  <si>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</si>
  <si>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</si>
  <si>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</si>
  <si>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</si>
  <si>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</si>
  <si>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</si>
  <si>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</si>
  <si>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</si>
  <si>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</si>
  <si>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</si>
  <si>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</si>
  <si>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</si>
  <si>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</si>
  <si>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</si>
  <si>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</si>
  <si>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</si>
  <si>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</si>
  <si>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</si>
  <si>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</si>
  <si>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</si>
  <si>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</si>
  <si>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</si>
  <si>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</si>
  <si>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</si>
  <si>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</si>
  <si>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</si>
  <si>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</si>
  <si>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</si>
  <si>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</si>
  <si>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</si>
  <si>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D. J. Rossetti, Inc.</t>
  </si>
  <si>
    <t>322 Charlton Rd.</t>
  </si>
  <si>
    <t>Ballston Spa</t>
  </si>
  <si>
    <t>14-1642873</t>
  </si>
  <si>
    <t>Katina Noonan</t>
  </si>
  <si>
    <t>Payroll Administrator</t>
  </si>
  <si>
    <t>Cement Masons and Concrete Finishers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</si>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</sst>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26</xdr:col>
          <xdr:colOff>22860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D14" sqref="D14:F14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9" t="s">
        <v>0</v>
      </c>
      <c r="E5" s="134"/>
      <c r="F5" s="134"/>
      <c r="G5" s="130"/>
      <c r="H5" s="130"/>
      <c r="I5" s="148" t="s">
        <v>321</v>
      </c>
      <c r="J5" s="148"/>
      <c r="K5" s="148"/>
      <c r="L5" s="148"/>
      <c r="M5" s="148"/>
      <c r="N5" s="148"/>
      <c r="O5" s="148"/>
      <c r="P5" s="148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63"/>
      <c r="F6" s="161"/>
      <c r="G6" s="132"/>
      <c r="H6" s="40"/>
      <c r="I6" s="161"/>
      <c r="J6" s="161"/>
      <c r="K6" s="161"/>
      <c r="L6" s="161"/>
      <c r="M6" s="161"/>
      <c r="N6" s="161"/>
      <c r="O6" s="161"/>
      <c r="P6" s="161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2"/>
      <c r="R7" s="71"/>
      <c r="S7" s="43" t="s">
        <v>6</v>
      </c>
      <c r="T7" s="116"/>
      <c r="U7" s="70"/>
      <c r="V7" s="2"/>
      <c r="W7" s="2"/>
      <c r="X7" s="150" t="s">
        <v>1841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60" t="s">
        <v>1837</v>
      </c>
      <c r="E8" s="160"/>
      <c r="F8" s="160"/>
      <c r="G8" s="70"/>
      <c r="H8" s="41"/>
      <c r="I8" s="137"/>
      <c r="J8" s="162"/>
      <c r="K8" s="138"/>
      <c r="L8" s="137"/>
      <c r="M8" s="138"/>
      <c r="N8" s="131"/>
      <c r="O8" s="137"/>
      <c r="P8" s="138"/>
      <c r="Q8" s="132"/>
      <c r="R8" s="38"/>
      <c r="S8" s="43" t="s">
        <v>7</v>
      </c>
      <c r="T8" s="116"/>
      <c r="U8" s="53"/>
      <c r="V8" s="2"/>
      <c r="W8" s="2"/>
      <c r="X8" s="156" t="s">
        <v>1842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60" t="s">
        <v>1838</v>
      </c>
      <c r="E9" s="160"/>
      <c r="F9" s="160"/>
      <c r="G9" s="70"/>
      <c r="H9" s="41"/>
      <c r="I9" s="137"/>
      <c r="J9" s="162"/>
      <c r="K9" s="138"/>
      <c r="L9" s="137"/>
      <c r="M9" s="138"/>
      <c r="N9" s="131"/>
      <c r="O9" s="137"/>
      <c r="P9" s="138"/>
      <c r="Q9" s="132"/>
      <c r="R9" s="38"/>
      <c r="S9" s="43" t="s">
        <v>8</v>
      </c>
      <c r="T9" s="116"/>
      <c r="U9" s="70"/>
      <c r="V9" s="2"/>
      <c r="W9" s="2"/>
      <c r="X9" s="86"/>
      <c r="Y9" s="87"/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 t="s">
        <v>451</v>
      </c>
      <c r="F10" s="32">
        <v>12020</v>
      </c>
      <c r="G10" s="70"/>
      <c r="H10" s="41"/>
      <c r="I10" s="164"/>
      <c r="J10" s="164"/>
      <c r="K10" s="164"/>
      <c r="L10" s="164"/>
      <c r="M10" s="164"/>
      <c r="N10" s="127"/>
      <c r="O10" s="164"/>
      <c r="P10" s="164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71" t="s">
        <v>1840</v>
      </c>
      <c r="E11" s="172"/>
      <c r="F11" s="173"/>
      <c r="G11" s="53"/>
      <c r="H11" s="41"/>
      <c r="I11" s="164"/>
      <c r="J11" s="164"/>
      <c r="K11" s="164"/>
      <c r="L11" s="164"/>
      <c r="M11" s="164"/>
      <c r="N11" s="127"/>
      <c r="O11" s="164"/>
      <c r="P11" s="164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50"/>
      <c r="E13" s="151"/>
      <c r="F13" s="152"/>
      <c r="G13" s="115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5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" thickBot="1" x14ac:dyDescent="0.35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5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2"/>
      <c r="D22" s="92"/>
      <c r="E22" s="93"/>
      <c r="F22" s="97"/>
      <c r="G22" s="97"/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5">
      <c r="A26" s="2"/>
      <c r="B26" s="2"/>
      <c r="C26" s="33" t="s">
        <v>319</v>
      </c>
      <c r="D26" s="33" t="s">
        <v>1843</v>
      </c>
      <c r="E26" s="93" t="str">
        <f>IF(ISERROR(VLOOKUP(D26,Sheet3!$A$2:$B$821,2,FALSE)),"",(VLOOKUP(D26,Sheet3!$A$2:$B$821,2,FALSE)))</f>
        <v>47-2051</v>
      </c>
      <c r="F26" s="97">
        <v>6</v>
      </c>
      <c r="G26" s="97">
        <v>53</v>
      </c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5">
      <c r="A27" s="2"/>
      <c r="B27" s="2"/>
      <c r="C27" s="33" t="s">
        <v>320</v>
      </c>
      <c r="D27" s="33" t="s">
        <v>1844</v>
      </c>
      <c r="E27" s="93" t="str">
        <f>IF(ISERROR(VLOOKUP(D27,Sheet3!$A$2:$B$821,2,FALSE)),"",(VLOOKUP(D27,Sheet3!$A$2:$B$821,2,FALSE)))</f>
        <v>47-2061</v>
      </c>
      <c r="F27" s="97">
        <v>5</v>
      </c>
      <c r="G27" s="97">
        <v>40</v>
      </c>
      <c r="H27" s="95"/>
      <c r="I27" s="97"/>
      <c r="J27" s="97"/>
      <c r="K27" s="95"/>
      <c r="L27" s="98">
        <v>1</v>
      </c>
      <c r="M27" s="98">
        <v>8</v>
      </c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" thickBot="1" x14ac:dyDescent="0.35">
      <c r="A38" s="2"/>
      <c r="B38" s="2"/>
      <c r="C38" s="153"/>
      <c r="D38" s="153"/>
      <c r="E38" s="153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83"/>
      <c r="T38" s="183"/>
      <c r="U38" s="184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" thickBot="1" x14ac:dyDescent="0.35">
      <c r="A39" s="2"/>
      <c r="B39" s="2"/>
      <c r="C39" s="128"/>
      <c r="D39" s="128"/>
      <c r="E39" s="68"/>
      <c r="F39" s="96">
        <f>SUM(F22:F37)</f>
        <v>11</v>
      </c>
      <c r="G39" s="96">
        <f>SUM(G22:G37)</f>
        <v>93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1</v>
      </c>
      <c r="M39" s="96">
        <f t="shared" si="0"/>
        <v>8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3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26</xdr:col>
                    <xdr:colOff>22860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2017-12-08T15:57:11Z</cp:lastPrinted>
  <dcterms:created xsi:type="dcterms:W3CDTF">2016-01-07T15:16:02Z</dcterms:created>
  <dcterms:modified xsi:type="dcterms:W3CDTF">2018-05-17T14:47:13Z</dcterms:modified>
</cp:coreProperties>
</file>