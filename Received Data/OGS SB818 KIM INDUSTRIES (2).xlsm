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etorgft3322234-my.sharepoint.com/personal/nicolen_kimindustries_com/Documents/KIM INDUSTRIES/CERTIFIED PAYROLL/1745/"/>
    </mc:Choice>
  </mc:AlternateContent>
  <xr:revisionPtr revIDLastSave="0" documentId="8_{B84D7646-CEE4-49A2-A0A1-7986DAC76675}" xr6:coauthVersionLast="34" xr6:coauthVersionMax="34" xr10:uidLastSave="{00000000-0000-0000-0000-000000000000}"/>
  <bookViews>
    <workbookView xWindow="1230" yWindow="1110" windowWidth="26580" windowHeight="1653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<sst xmlns="http://schemas.openxmlformats.org/spreadsheetml/2006/main" count="2107" uniqueCount="1845">
  <si>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</si>
  <si>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</si>
  <si>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</si>
  <si>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</si>
  <si>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</si>
  <si>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</si>
  <si>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</si>
  <si>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</si>
  <si>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</si>
  <si>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</si>
  <si>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</si>
  <si>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</si>
  <si>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</si>
  <si>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</si>
  <si>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</si>
  <si>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</si>
  <si>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</si>
  <si>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</si>
  <si>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</si>
  <si>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</si>
  <si>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</si>
  <si>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</si>
  <si>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</si>
  <si>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</si>
  <si>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</si>
  <si>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</si>
  <si>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</si>
  <si>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</si>
  <si>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</si>
  <si>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</si>
  <si>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</si>
  <si>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</si>
  <si>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</si>
  <si>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</si>
  <si>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</si>
  <si>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</si>
  <si>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</si>
  <si>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</si>
  <si>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</si>
  <si>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</si>
  <si>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</si>
  <si>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</si>
  <si>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</si>
  <si>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</si>
  <si>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</si>
  <si>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</si>
  <si>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</si>
  <si>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</si>
  <si>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</si>
  <si>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</si>
  <si>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</si>
  <si>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</si>
  <si>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</si>
  <si>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</si>
  <si>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</si>
  <si>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</si>
  <si>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</si>
  <si>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</si>
  <si>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</si>
  <si>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</si>
  <si>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</si>
  <si>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</si>
  <si>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</si>
  <si>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</si>
  <si>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</si>
  <si>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</si>
  <si>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</si>
  <si>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</si>
  <si>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</si>
  <si>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</si>
  <si>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</si>
  <si>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</si>
  <si>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</si>
  <si>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</si>
  <si>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</si>
  <si>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</si>
  <si>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</si>
  <si>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</si>
  <si>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</si>
  <si>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</si>
  <si>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</si>
  <si>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</si>
  <si>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</si>
  <si>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</si>
  <si>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</si>
  <si>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</si>
  <si>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</si>
  <si>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</si>
  <si>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</si>
  <si>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</si>
  <si>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</si>
  <si>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</si>
  <si>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</si>
  <si>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</si>
  <si>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</si>
  <si>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</si>
  <si>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</si>
  <si>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</si>
  <si>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</si>
  <si>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</si>
  <si>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</si>
  <si>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</si>
  <si>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</si>
  <si>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</si>
  <si>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</si>
  <si>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</si>
  <si>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</si>
  <si>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</si>
  <si>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</si>
  <si>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</si>
  <si>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</si>
  <si>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</si>
  <si>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</si>
  <si>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</si>
  <si>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</si>
  <si>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</si>
  <si>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</si>
  <si>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</si>
  <si>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</si>
  <si>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</si>
  <si>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</si>
  <si>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</si>
  <si>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</si>
  <si>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</si>
  <si>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</si>
  <si>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</si>
  <si>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</si>
  <si>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</si>
  <si>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</si>
  <si>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</si>
  <si>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</si>
  <si>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</si>
  <si>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</si>
  <si>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</si>
  <si>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</si>
  <si>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</si>
  <si>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</si>
  <si>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</si>
  <si>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</si>
  <si>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</si>
  <si>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</si>
  <si>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</si>
  <si>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</si>
  <si>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</si>
  <si>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</si>
  <si>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</si>
  <si>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</si>
  <si>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</si>
  <si>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</si>
  <si>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</si>
  <si>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</si>
  <si>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</si>
  <si>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</si>
  <si>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</si>
  <si>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</si>
  <si>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</si>
  <si>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</si>
  <si>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</si>
  <si>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</si>
  <si>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</si>
  <si>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</si>
  <si>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</si>
  <si>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</si>
  <si>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</si>
  <si>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</si>
  <si>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</si>
  <si>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</si>
  <si>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</si>
  <si>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</si>
  <si>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</si>
  <si>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</si>
  <si>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</si>
  <si>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</si>
  <si>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</si>
  <si>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</si>
  <si>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</si>
  <si>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</si>
  <si>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</si>
  <si>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</si>
  <si>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</si>
  <si>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</si>
  <si>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</si>
  <si>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</si>
  <si>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</si>
  <si>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</si>
  <si>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</si>
  <si>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</si>
  <si>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</si>
  <si>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</si>
  <si>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</si>
  <si>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</si>
  <si>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</si>
  <si>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</si>
  <si>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</si>
  <si>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</si>
  <si>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</si>
  <si>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</si>
  <si>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</si>
  <si>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</si>
  <si>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</si>
  <si>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</si>
  <si>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</si>
  <si>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</si>
  <si>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</si>
  <si>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</si>
  <si>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</si>
  <si>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</si>
  <si>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</si>
  <si>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</si>
  <si>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</si>
  <si>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</si>
  <si>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</si>
  <si>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</si>
  <si>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</si>
  <si>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</si>
  <si>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</si>
  <si>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</si>
  <si>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</si>
  <si>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</si>
  <si>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</si>
  <si>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</si>
  <si>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</si>
  <si>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</si>
  <si>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</si>
  <si>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</si>
  <si>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</si>
  <si>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</si>
  <si>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</si>
  <si>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</si>
  <si>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</si>
  <si>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</si>
  <si>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</si>
  <si>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</si>
  <si>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</si>
  <si>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</si>
  <si>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</si>
  <si>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</si>
  <si>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</si>
  <si>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</si>
  <si>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</si>
  <si>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</si>
  <si>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</si>
  <si>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</si>
  <si>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</si>
  <si>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</si>
  <si>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</si>
  <si>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</si>
  <si>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</si>
  <si>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</si>
  <si>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</si>
  <si>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</si>
  <si>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</si>
  <si>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</si>
  <si>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</si>
  <si>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</si>
  <si>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</si>
  <si>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</si>
  <si>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</si>
  <si>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</si>
  <si>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</si>
  <si>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</si>
  <si>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</si>
  <si>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</si>
  <si>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</si>
  <si>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</si>
  <si>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</si>
  <si>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</si>
  <si>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</si>
  <si>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</si>
  <si>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</si>
  <si>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</si>
  <si>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</si>
  <si>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</si>
  <si>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</si>
  <si>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</si>
  <si>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</si>
  <si>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</si>
  <si>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</si>
  <si>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</si>
  <si>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</si>
  <si>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</si>
  <si>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</si>
  <si>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</si>
  <si>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</si>
  <si>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</si>
  <si>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</si>
  <si>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</si>
  <si>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</si>
  <si>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</si>
  <si>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</si>
  <si>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</si>
  <si>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</si>
  <si>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</si>
  <si>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</si>
  <si>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</si>
  <si>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</si>
  <si>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</si>
  <si>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</si>
  <si>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</si>
  <si>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</si>
  <si>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</si>
  <si>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</si>
  <si>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</si>
  <si>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</si>
  <si>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</si>
  <si>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</si>
  <si>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</si>
  <si>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</si>
  <si>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</si>
  <si>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</si>
  <si>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</si>
  <si>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</si>
  <si>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</si>
  <si>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</si>
  <si>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</si>
  <si>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</si>
  <si>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</si>
  <si>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</si>
  <si>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</si>
  <si>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</si>
  <si>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</si>
  <si>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</si>
  <si>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</si>
  <si>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</si>
  <si>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</si>
  <si>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</si>
  <si>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</si>
  <si>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</si>
  <si>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</si>
  <si>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</si>
  <si>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</si>
  <si>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</si>
  <si>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</si>
  <si>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</si>
  <si>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</si>
  <si>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</si>
  <si>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</si>
  <si>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</si>
  <si>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</si>
  <si>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</si>
  <si>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</si>
  <si>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</si>
  <si>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</si>
  <si>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</si>
  <si>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</si>
  <si>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</si>
  <si>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</si>
  <si>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</si>
  <si>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</si>
  <si>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</si>
  <si>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</si>
  <si>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</si>
  <si>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</si>
  <si>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</si>
  <si>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</si>
  <si>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</si>
  <si>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</si>
  <si>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</si>
  <si>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</si>
  <si>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</si>
  <si>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</si>
  <si>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</si>
  <si>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</si>
  <si>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</si>
  <si>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</si>
  <si>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</si>
  <si>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</si>
  <si>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</si>
  <si>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</si>
  <si>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</si>
  <si>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</si>
  <si>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</si>
  <si>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</si>
  <si>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</si>
  <si>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</si>
  <si>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</si>
  <si>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</si>
  <si>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</si>
  <si>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</si>
  <si>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</si>
  <si>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</si>
  <si>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</si>
  <si>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</si>
  <si>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</si>
  <si>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</si>
  <si>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</si>
  <si>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</si>
  <si>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</si>
  <si>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</si>
  <si>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</si>
  <si>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</si>
  <si>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</si>
  <si>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</si>
  <si>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</si>
  <si>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</si>
  <si>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</si>
  <si>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</si>
  <si>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</si>
  <si>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</si>
  <si>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</si>
  <si>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</si>
  <si>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</si>
  <si>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</si>
  <si>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</si>
  <si>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</si>
  <si>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</si>
  <si>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</si>
  <si>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</si>
  <si>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</si>
  <si>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</si>
  <si>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</si>
  <si>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</si>
  <si>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</si>
  <si>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</si>
  <si>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</si>
  <si>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</si>
  <si>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</si>
  <si>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</si>
  <si>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</si>
  <si>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</si>
  <si>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</si>
  <si>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</si>
  <si>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</si>
  <si>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</si>
  <si>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</si>
  <si>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</si>
  <si>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</si>
  <si>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</si>
  <si>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</si>
  <si>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</si>
  <si>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</si>
  <si>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</si>
  <si>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</si>
  <si>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</si>
  <si>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</si>
  <si>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</si>
  <si>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</si>
  <si>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</si>
  <si>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</si>
  <si>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</si>
  <si>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</si>
  <si>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</si>
  <si>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</si>
  <si>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</si>
  <si>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</si>
  <si>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</si>
  <si>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</si>
  <si>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</si>
  <si>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</si>
  <si>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</si>
  <si>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</si>
  <si>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</si>
  <si>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</si>
  <si>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</si>
  <si>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</si>
  <si>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</si>
  <si>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</si>
  <si>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</si>
  <si>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</si>
  <si>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</si>
  <si>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</si>
  <si>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</si>
  <si>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</si>
  <si>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</si>
  <si>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</si>
  <si>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</si>
  <si>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</si>
  <si>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</si>
  <si>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</si>
  <si>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</si>
  <si>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</si>
  <si>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</si>
  <si>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</si>
  <si>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</si>
  <si>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</si>
  <si>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</si>
  <si>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</si>
  <si>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</si>
  <si>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</si>
  <si>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</si>
  <si>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</si>
  <si>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</si>
  <si>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</si>
  <si>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</si>
  <si>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</si>
  <si>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</si>
  <si>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</si>
  <si>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</si>
  <si>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</si>
  <si>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</si>
  <si>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</si>
  <si>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</si>
  <si>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</si>
  <si>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</si>
  <si>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</si>
  <si>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</si>
  <si>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</si>
  <si>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</si>
  <si>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</si>
  <si>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</si>
  <si>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</si>
  <si>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</si>
  <si>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</si>
  <si>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</si>
  <si>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</si>
  <si>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</si>
  <si>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</si>
  <si>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</si>
  <si>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</si>
  <si>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</si>
  <si>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</si>
  <si>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</si>
  <si>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</si>
  <si>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</si>
  <si>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</si>
  <si>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</si>
  <si>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</si>
  <si>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</si>
  <si>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</si>
  <si>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</si>
  <si>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</si>
  <si>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</si>
  <si>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</si>
  <si>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</si>
  <si>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</si>
  <si>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</si>
  <si>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</si>
  <si>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</si>
  <si>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</si>
  <si>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</si>
  <si>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</si>
  <si>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</si>
  <si>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</si>
  <si>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</si>
  <si>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</si>
  <si>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</si>
  <si>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</si>
  <si>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</si>
  <si>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</si>
  <si>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</si>
  <si>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</si>
  <si>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</si>
  <si>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</si>
  <si>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</si>
  <si>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</si>
  <si>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</si>
  <si>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</si>
  <si>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</si>
  <si>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</si>
  <si>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</si>
  <si>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</si>
  <si>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</si>
  <si>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</si>
  <si>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</si>
  <si>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</si>
  <si>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</si>
  <si>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</si>
  <si>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</si>
  <si>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</si>
  <si>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</si>
  <si>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</si>
  <si>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</si>
  <si>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</si>
  <si>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</si>
  <si>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</si>
  <si>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</si>
  <si>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</si>
  <si>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</si>
  <si>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</si>
  <si>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</si>
  <si>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</si>
  <si>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</si>
  <si>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</si>
  <si>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</si>
  <si>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</si>
  <si>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</si>
  <si>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</si>
  <si>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</si>
  <si>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</si>
  <si>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</si>
  <si>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</si>
  <si>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</si>
  <si>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</si>
  <si>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</si>
  <si>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</si>
  <si>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</si>
  <si>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</si>
  <si>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</si>
  <si>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</si>
  <si>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</si>
  <si>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</si>
  <si>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</si>
  <si>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</si>
  <si>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</si>
  <si>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</si>
  <si>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</si>
  <si>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</si>
  <si>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</si>
  <si>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</si>
  <si>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</si>
  <si>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</si>
  <si>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</si>
  <si>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</si>
  <si>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</si>
  <si>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</si>
  <si>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</si>
  <si>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</si>
  <si>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</si>
  <si>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</si>
  <si>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</si>
  <si>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</si>
  <si>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</si>
  <si>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</si>
  <si>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</si>
  <si>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</si>
  <si>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</si>
  <si>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</si>
  <si>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</si>
  <si>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</si>
  <si>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</si>
  <si>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</si>
  <si>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</si>
  <si>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</si>
  <si>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</si>
  <si>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</si>
  <si>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</si>
  <si>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</si>
  <si>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</si>
  <si>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</si>
  <si>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</si>
  <si>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</si>
  <si>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</si>
  <si>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</si>
  <si>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</si>
  <si>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</si>
  <si>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</si>
  <si>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</si>
  <si>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</si>
  <si>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</si>
  <si>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</si>
  <si>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</si>
  <si>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</si>
  <si>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</si>
  <si>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</si>
  <si>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</si>
  <si>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</si>
  <si>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</si>
  <si>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</si>
  <si>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</si>
  <si>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</si>
  <si>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</si>
  <si>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</si>
  <si>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</si>
  <si>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</si>
  <si>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</si>
  <si>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</si>
  <si>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</si>
  <si>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</si>
  <si>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</si>
  <si>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</si>
  <si>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</si>
  <si>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</si>
  <si>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</si>
  <si>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</si>
  <si>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</si>
  <si>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</si>
  <si>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</si>
  <si>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</si>
  <si>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</si>
  <si>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</si>
  <si>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</si>
  <si>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</si>
  <si>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</si>
  <si>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</si>
  <si>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</si>
  <si>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</si>
  <si>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</si>
  <si>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</si>
  <si>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</si>
  <si>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</si>
  <si>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</si>
  <si>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</si>
  <si>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</si>
  <si>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</si>
  <si>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</si>
  <si>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</si>
  <si>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</si>
  <si>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</si>
  <si>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</si>
  <si>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</si>
  <si>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</si>
  <si>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</si>
  <si>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</si>
  <si>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</si>
  <si>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</si>
  <si>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</si>
  <si>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</si>
  <si>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</si>
  <si>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</si>
  <si>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</si>
  <si>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</si>
  <si>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</si>
  <si>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</si>
  <si>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</si>
  <si>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</si>
  <si>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</si>
  <si>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</si>
  <si>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</si>
  <si>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</si>
  <si>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</si>
  <si>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</si>
  <si>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</si>
  <si>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</si>
  <si>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</si>
  <si>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</si>
  <si>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</si>
  <si>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</si>
  <si>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</si>
  <si>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</si>
  <si>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</si>
  <si>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</si>
  <si>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</si>
  <si>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</si>
  <si>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</si>
  <si>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</si>
  <si>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</si>
  <si>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</si>
  <si>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</si>
  <si>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</si>
  <si>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</si>
  <si>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</si>
  <si>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</si>
  <si>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</si>
  <si>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</si>
  <si>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</si>
  <si>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</si>
  <si>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</si>
  <si>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</si>
  <si>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</si>
  <si>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</si>
  <si>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</si>
  <si>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</si>
  <si>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</si>
  <si>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</si>
  <si>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</si>
  <si>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</si>
  <si>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</si>
  <si>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</si>
  <si>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</si>
  <si>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</si>
  <si>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</si>
  <si>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</si>
  <si>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</si>
  <si>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</si>
  <si>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</si>
  <si>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</si>
  <si>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</si>
  <si>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</si>
  <si>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</si>
  <si>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</si>
  <si>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</si>
  <si>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</si>
  <si>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</si>
  <si>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</si>
  <si>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</si>
  <si>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</si>
  <si>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</si>
  <si>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</si>
  <si>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</si>
  <si>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</si>
  <si>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</si>
  <si>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</si>
  <si>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</si>
  <si>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</si>
  <si>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</si>
  <si>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</si>
  <si>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</si>
  <si>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</si>
  <si>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</si>
  <si>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</si>
  <si>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</si>
  <si>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</si>
  <si>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</si>
  <si>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</si>
  <si>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</si>
  <si>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</si>
  <si>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</si>
  <si>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</si>
  <si>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</si>
  <si>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</si>
  <si>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</si>
  <si>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</si>
  <si>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</si>
  <si>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</si>
  <si>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</si>
  <si>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</si>
  <si>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</si>
  <si>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</si>
  <si>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</si>
  <si>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</si>
  <si>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</si>
  <si>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</si>
  <si>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</si>
  <si>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</si>
  <si>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</si>
  <si>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</si>
  <si>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</si>
  <si>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</si>
  <si>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</si>
  <si>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</si>
  <si>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</si>
  <si>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</si>
  <si>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</si>
  <si>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</si>
  <si>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</si>
  <si>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</si>
  <si>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</si>
  <si>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</si>
  <si>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</si>
  <si>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</si>
  <si>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</si>
  <si>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</si>
  <si>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</si>
  <si>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</si>
  <si>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</si>
  <si>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</si>
  <si>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</si>
  <si>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</si>
  <si>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</si>
  <si>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</si>
  <si>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</si>
  <si>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</si>
  <si>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</si>
  <si>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</si>
  <si>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</si>
  <si>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</si>
  <si>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</si>
  <si>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</si>
  <si>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</si>
  <si>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</si>
  <si>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</si>
  <si>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</si>
  <si>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</si>
  <si>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</si>
  <si>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</si>
  <si>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</si>
  <si>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</si>
  <si>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</si>
  <si>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</si>
  <si>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</si>
  <si>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</si>
  <si>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</si>
  <si>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</si>
  <si>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</si>
  <si>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</si>
  <si>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</si>
  <si>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</si>
  <si>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</si>
  <si>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</si>
  <si>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</si>
  <si>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</si>
  <si>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</si>
  <si>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</si>
  <si>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</si>
  <si>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</si>
  <si>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</si>
  <si>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</si>
  <si>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</si>
  <si>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</si>
  <si>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</si>
  <si>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</si>
  <si>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</si>
  <si>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</si>
  <si>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</si>
  <si>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</si>
  <si>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</si>
  <si>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</si>
  <si>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</si>
  <si>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</si>
  <si>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</si>
  <si>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</si>
  <si>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</si>
  <si>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</si>
  <si>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</si>
  <si>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</si>
  <si>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</si>
  <si>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</si>
  <si>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</si>
  <si>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</si>
  <si>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</si>
  <si>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</si>
  <si>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</si>
  <si>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</si>
  <si>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</si>
  <si>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</si>
  <si>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</si>
  <si>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</si>
  <si>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</si>
  <si>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</si>
  <si>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</si>
  <si>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</si>
  <si>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</si>
  <si>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</si>
  <si>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</si>
  <si>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</si>
  <si>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</si>
  <si>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</si>
  <si>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</si>
  <si>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</si>
  <si>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</si>
  <si>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</si>
  <si>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</si>
  <si>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</si>
  <si>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</si>
  <si>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</si>
  <si>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</si>
  <si>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</si>
  <si>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</si>
  <si>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</si>
  <si>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</si>
  <si>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</si>
  <si>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</si>
  <si>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</si>
  <si>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</si>
  <si>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</si>
  <si>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</si>
  <si>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</si>
  <si>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</si>
  <si>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</si>
  <si>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</si>
  <si>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</si>
  <si>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</si>
  <si>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</si>
  <si>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</si>
  <si>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</si>
  <si>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</si>
  <si>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</si>
  <si>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</si>
  <si>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</si>
  <si>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</si>
  <si>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</si>
  <si>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</si>
  <si>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</si>
  <si>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</si>
  <si>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</si>
  <si>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</si>
  <si>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</si>
  <si>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</si>
  <si>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</si>
  <si>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</si>
  <si>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</si>
  <si>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</si>
  <si>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</si>
  <si>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</si>
  <si>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</si>
  <si>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</si>
  <si>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</si>
  <si>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</si>
  <si>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</si>
  <si>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</si>
  <si>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</si>
  <si>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</si>
  <si>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</si>
  <si>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</si>
  <si>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</si>
  <si>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</si>
  <si>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</si>
  <si>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</si>
  <si>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</si>
  <si>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</si>
  <si>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</si>
  <si>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</si>
  <si>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</si>
  <si>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</si>
  <si>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</si>
  <si>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</si>
  <si>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</si>
  <si>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</si>
  <si>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</si>
  <si>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</si>
  <si>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</si>
  <si>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</si>
  <si>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</si>
  <si>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</si>
  <si>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</si>
  <si>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</si>
  <si>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</si>
  <si>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</si>
  <si>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</si>
  <si>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</si>
  <si>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</si>
  <si>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</si>
  <si>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</si>
  <si>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</si>
  <si>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</si>
  <si>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</si>
  <si>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</si>
  <si>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</si>
  <si>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</si>
  <si>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</si>
  <si>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</si>
  <si>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</si>
  <si>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</si>
  <si>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</si>
  <si>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</si>
  <si>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</si>
  <si>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</si>
  <si>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</si>
  <si>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</si>
  <si>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</si>
  <si>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</si>
  <si>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</si>
  <si>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</si>
  <si>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</si>
  <si>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</si>
  <si>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</si>
  <si>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</si>
  <si>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</si>
  <si>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</si>
  <si>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</si>
  <si>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</si>
  <si>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</si>
  <si>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</si>
  <si>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</si>
  <si>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</si>
  <si>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</si>
  <si>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</si>
  <si>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</si>
  <si>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</si>
  <si>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</si>
  <si>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</si>
  <si>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</si>
  <si>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</si>
  <si>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</si>
  <si>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</si>
  <si>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</si>
  <si>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</si>
  <si>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</si>
  <si>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</si>
  <si>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</si>
  <si>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</si>
  <si>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</si>
  <si>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</si>
  <si>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</si>
  <si>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</si>
  <si>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</si>
  <si>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</si>
  <si>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</si>
  <si>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</si>
  <si>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</si>
  <si>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</si>
  <si>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</si>
  <si>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</si>
  <si>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</si>
  <si>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</si>
  <si>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</si>
  <si>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</si>
  <si>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</si>
  <si>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</si>
  <si>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</si>
  <si>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</si>
  <si>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</si>
  <si>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</si>
  <si>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</si>
  <si>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</si>
  <si>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</si>
  <si>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</si>
  <si>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</si>
  <si>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</si>
  <si>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</si>
  <si>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</si>
  <si>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</si>
  <si>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</si>
  <si>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</si>
  <si>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</si>
  <si>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</si>
  <si>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</si>
  <si>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</si>
  <si>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</si>
  <si>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</si>
  <si>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</si>
  <si>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</si>
  <si>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</si>
  <si>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</si>
  <si>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</si>
  <si>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</si>
  <si>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</si>
  <si>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</si>
  <si>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</si>
  <si>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</si>
  <si>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</si>
  <si>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</si>
  <si>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</si>
  <si>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</si>
  <si>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</si>
  <si>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</si>
  <si>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</si>
  <si>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</si>
  <si>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</si>
  <si>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</si>
  <si>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</si>
  <si>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</si>
  <si>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</si>
  <si>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</si>
  <si>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</si>
  <si>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</si>
  <si>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</si>
  <si>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</si>
  <si>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</si>
  <si>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</si>
  <si>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</si>
  <si>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</si>
  <si>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</si>
  <si>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</si>
  <si>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</si>
  <si>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</si>
  <si>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</si>
  <si>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</si>
  <si>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</si>
  <si>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</si>
  <si>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</si>
  <si>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</si>
  <si>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</si>
  <si>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</si>
  <si>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</si>
  <si>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</si>
  <si>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</si>
  <si>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</si>
  <si>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</si>
  <si>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</si>
  <si>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</si>
  <si>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</si>
  <si>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</si>
  <si>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</si>
  <si>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</si>
  <si>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</si>
  <si>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</si>
  <si>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</si>
  <si>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</si>
  <si>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</si>
  <si>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</si>
  <si>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</si>
  <si>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</si>
  <si>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</si>
  <si>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</si>
  <si>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</si>
  <si>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</si>
  <si>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</si>
  <si>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</si>
  <si>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</si>
  <si>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</si>
  <si>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</si>
  <si>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</si>
  <si>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</si>
  <si>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</si>
  <si>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</si>
  <si>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</si>
  <si>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</si>
  <si>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</si>
  <si>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</si>
  <si>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</si>
  <si>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</si>
  <si>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</si>
  <si>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</si>
  <si>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</si>
  <si>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</si>
  <si>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</si>
  <si>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</si>
  <si>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</si>
  <si>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</si>
  <si>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</si>
  <si>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</si>
  <si>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</si>
  <si>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</si>
  <si>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</si>
  <si>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</si>
  <si>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</si>
  <si>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</si>
  <si>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</si>
  <si>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</si>
  <si>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</si>
  <si>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</si>
  <si>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</si>
  <si>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</si>
  <si>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</si>
  <si>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</si>
  <si>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</si>
  <si>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</si>
  <si>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</si>
  <si>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</si>
  <si>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</si>
  <si>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</si>
  <si>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</si>
  <si>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</si>
  <si>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</si>
  <si>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</si>
  <si>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</si>
  <si>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</si>
  <si>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</si>
  <si>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</si>
  <si>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</si>
  <si>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</si>
  <si>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</si>
  <si>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</si>
  <si>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</si>
  <si>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</si>
  <si>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</si>
  <si>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</si>
  <si>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</si>
  <si>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</si>
  <si>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</si>
  <si>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</si>
  <si>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</si>
  <si>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</si>
  <si>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</si>
  <si>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</si>
  <si>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</si>
  <si>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</si>
  <si>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</si>
  <si>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</si>
  <si>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</si>
  <si>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</si>
  <si>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</si>
  <si>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</si>
  <si>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</si>
  <si>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</si>
  <si>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</si>
  <si>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</si>
  <si>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</si>
  <si>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</si>
  <si>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</si>
  <si>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</si>
  <si>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</si>
  <si>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</si>
  <si>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</si>
  <si>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</si>
  <si>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</si>
  <si>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</si>
  <si>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</si>
  <si>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</si>
  <si>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</si>
  <si>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</si>
  <si>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</si>
  <si>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</si>
  <si>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</si>
  <si>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</si>
  <si>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</si>
  <si>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</si>
  <si>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</si>
  <si>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</si>
  <si>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</si>
  <si>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</si>
  <si>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</si>
  <si>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</si>
  <si>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</si>
  <si>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</si>
  <si>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</si>
  <si>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</si>
  <si>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</si>
  <si>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</si>
  <si>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</si>
  <si>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</si>
  <si>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</si>
  <si>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</si>
  <si>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</si>
  <si>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</si>
  <si>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</si>
  <si>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</si>
  <si>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</si>
  <si>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</si>
  <si>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</si>
  <si>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</si>
  <si>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</si>
  <si>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</si>
  <si>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</si>
  <si>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</si>
  <si>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</si>
  <si>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</si>
  <si>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</si>
  <si>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</si>
  <si>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</si>
  <si>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</si>
  <si>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</si>
  <si>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</si>
  <si>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</si>
  <si>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</si>
  <si>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</si>
  <si>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</si>
  <si>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</si>
  <si>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</si>
  <si>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</si>
  <si>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</si>
  <si>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</si>
  <si>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</si>
  <si>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</si>
  <si>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</si>
  <si>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</si>
  <si>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</si>
  <si>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</si>
  <si>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</si>
  <si>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</si>
  <si>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</si>
  <si>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</si>
  <si>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</si>
  <si>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</si>
  <si>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</si>
  <si>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</si>
  <si>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</si>
  <si>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</si>
  <si>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</si>
  <si>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</si>
  <si>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</si>
  <si>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</si>
  <si>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</si>
  <si>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</si>
  <si>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</si>
  <si>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</si>
  <si>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</si>
  <si>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</si>
  <si>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</si>
  <si>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</si>
  <si>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</si>
  <si>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</si>
  <si>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</si>
  <si>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</si>
  <si>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</si>
  <si>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</si>
  <si>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</si>
  <si>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</si>
  <si>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</si>
  <si>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</si>
  <si>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</si>
  <si>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</si>
  <si>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</si>
  <si>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</si>
  <si>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</si>
  <si>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</si>
  <si>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</si>
  <si>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</si>
  <si>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</si>
  <si>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</si>
  <si>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</si>
  <si>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</si>
  <si>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</si>
  <si>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</si>
  <si>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</si>
  <si>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</si>
  <si>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</si>
  <si>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</si>
  <si>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</si>
  <si>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</si>
  <si>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</si>
  <si>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</si>
  <si>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</si>
  <si>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</si>
  <si>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</si>
  <si>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</si>
  <si>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</si>
  <si>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</si>
  <si>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</si>
  <si>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</si>
  <si>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</si>
  <si>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</si>
  <si>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</si>
  <si>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</si>
  <si>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</si>
  <si>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</si>
  <si>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</si>
  <si>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</si>
  <si>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</si>
  <si>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</si>
  <si>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</si>
  <si>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</si>
  <si>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</si>
  <si>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</si>
  <si>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</si>
  <si>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</si>
  <si>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</si>
  <si>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</si>
  <si>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</si>
  <si>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</si>
  <si>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</si>
  <si>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</si>
  <si>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</si>
  <si>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</si>
  <si>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</si>
  <si>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</si>
  <si>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</si>
  <si>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</si>
  <si>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</si>
  <si>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</si>
  <si>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</si>
  <si>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</si>
  <si>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</si>
  <si>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</si>
  <si>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</si>
  <si>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</si>
  <si>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</si>
  <si>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</si>
  <si>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</si>
  <si>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</si>
  <si>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</si>
  <si>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</si>
  <si>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</si>
  <si>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</si>
  <si>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</si>
  <si>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</si>
  <si>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</si>
  <si>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</si>
  <si>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</si>
  <si>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</si>
  <si>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</si>
  <si>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</si>
  <si>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</si>
  <si>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</si>
  <si>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</si>
  <si>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</si>
  <si>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</si>
  <si>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</si>
  <si>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</si>
  <si>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</si>
  <si>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</si>
  <si>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</si>
  <si>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</si>
  <si>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</si>
  <si>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</si>
  <si>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</si>
  <si>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</si>
  <si>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</si>
  <si>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</si>
  <si>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</si>
  <si>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</si>
  <si>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</si>
  <si>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</si>
  <si>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</si>
  <si>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</si>
  <si>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</si>
  <si>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</si>
  <si>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</si>
  <si>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</si>
  <si>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</si>
  <si>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</si>
  <si>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</si>
  <si>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</si>
  <si>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</si>
  <si>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</si>
  <si>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</si>
  <si>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</si>
  <si>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</si>
  <si>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</si>
  <si>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</si>
  <si>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</si>
  <si>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</si>
  <si>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</si>
  <si>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</si>
  <si>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</si>
  <si>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</si>
  <si>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</si>
  <si>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</si>
  <si>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</si>
  <si>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</si>
  <si>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</si>
  <si>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</si>
  <si>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</si>
  <si>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</si>
  <si>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</si>
  <si>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</si>
  <si>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</si>
  <si>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</si>
  <si>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</si>
  <si>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</si>
  <si>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</si>
  <si>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</si>
  <si>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</si>
  <si>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</si>
  <si>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</si>
  <si>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</si>
  <si>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</si>
  <si>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</si>
  <si>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</si>
  <si>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</si>
  <si>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</si>
  <si>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</si>
  <si>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</si>
  <si>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</si>
  <si>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</si>
  <si>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</si>
  <si>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</si>
  <si>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</si>
  <si>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</si>
  <si>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</si>
  <si>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</si>
  <si>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</si>
  <si>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</si>
  <si>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</si>
  <si>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</si>
  <si>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</si>
  <si>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</si>
  <si>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</si>
  <si>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</si>
  <si>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</si>
  <si>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</si>
  <si>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</si>
  <si>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</si>
  <si>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</si>
  <si>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</si>
  <si>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</si>
  <si>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</si>
  <si>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</si>
  <si>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</si>
  <si>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</si>
  <si>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</si>
  <si>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</si>
  <si>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</si>
  <si>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</si>
  <si>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</si>
  <si>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</si>
  <si>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</si>
  <si>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</si>
  <si>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</si>
  <si>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</si>
  <si>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</si>
  <si>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</si>
  <si>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</si>
  <si>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</si>
  <si>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</si>
  <si>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</si>
  <si>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</si>
  <si>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</si>
  <si>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</si>
  <si>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</si>
  <si>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</si>
  <si>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</si>
  <si>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</si>
  <si>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</si>
  <si>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</si>
  <si>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</si>
  <si>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</si>
  <si>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</si>
  <si>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</si>
  <si>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</si>
  <si>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</si>
  <si>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</si>
  <si>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</si>
  <si>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</si>
  <si>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</si>
  <si>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</si>
  <si>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</si>
  <si>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</si>
  <si>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</si>
  <si>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</si>
  <si>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</si>
  <si>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</si>
  <si>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</si>
  <si>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</si>
  <si>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</si>
  <si>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</si>
  <si>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</si>
  <si>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</si>
  <si>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</si>
  <si>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</si>
  <si>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</si>
  <si>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</si>
  <si>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</si>
  <si>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</si>
  <si>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</si>
  <si>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</si>
  <si>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</si>
  <si>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</si>
  <si>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</si>
  <si>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</si>
  <si>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</si>
  <si>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</si>
  <si>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</si>
  <si>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</si>
  <si>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</si>
  <si>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</si>
  <si>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</si>
  <si>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</si>
  <si>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</si>
  <si>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</si>
  <si>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</si>
  <si>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</si>
  <si>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</si>
  <si>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</si>
  <si>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</si>
  <si>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</si>
  <si>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</si>
  <si>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</si>
  <si>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</si>
  <si>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</si>
  <si>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</si>
  <si>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</si>
  <si>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</si>
  <si>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</si>
  <si>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</si>
  <si>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</si>
  <si>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</si>
  <si>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</si>
  <si>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</si>
  <si>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</si>
  <si>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</si>
  <si>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</si>
  <si>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</si>
  <si>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</si>
  <si>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</si>
  <si>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</si>
  <si>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</si>
  <si>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</si>
  <si>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</si>
  <si>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</si>
  <si>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</si>
  <si>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</si>
  <si>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</si>
  <si>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</si>
  <si>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</si>
  <si>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</si>
  <si>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</si>
  <si>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</si>
  <si>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</si>
  <si>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</si>
  <si>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</si>
  <si>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</si>
  <si>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</si>
  <si>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</si>
  <si>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</si>
  <si>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</si>
  <si>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</si>
  <si>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</si>
  <si>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</si>
  <si>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</si>
  <si>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</si>
  <si>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</si>
  <si>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</si>
  <si>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</si>
  <si>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</si>
  <si>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</si>
  <si>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</si>
  <si>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</si>
  <si>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</si>
  <si>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</si>
  <si>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</si>
  <si>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</si>
  <si>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</si>
  <si>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</si>
  <si>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</si>
  <si>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</si>
  <si>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</si>
  <si>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</si>
  <si>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</si>
  <si>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</si>
  <si>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</si>
  <si>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</si>
  <si>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</si>
  <si>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</si>
  <si>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</si>
  <si>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</si>
  <si>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</si>
  <si>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</si>
  <si>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</si>
  <si>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</si>
  <si>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</si>
  <si>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</si>
  <si>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</si>
  <si>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</si>
  <si>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</si>
  <si>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</si>
  <si>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</si>
  <si>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</si>
  <si>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</si>
  <si>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</si>
  <si>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</si>
  <si>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</si>
  <si>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</si>
  <si>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</si>
  <si>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</si>
  <si>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</si>
  <si>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</si>
  <si>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</si>
  <si>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</si>
  <si>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</si>
  <si>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</si>
  <si>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</si>
  <si>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</si>
  <si>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</si>
  <si>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</si>
  <si>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</si>
  <si>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</si>
  <si>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</si>
  <si>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</si>
  <si>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</si>
  <si>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</si>
  <si>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</si>
  <si>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</si>
  <si>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</si>
  <si>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</si>
  <si>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</si>
  <si>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</si>
  <si>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</si>
  <si>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</si>
  <si>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</si>
  <si>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</si>
  <si>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</si>
  <si>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</si>
  <si>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</si>
  <si>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</si>
  <si>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</si>
  <si>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</si>
  <si>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</si>
  <si>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</si>
  <si>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</si>
  <si>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</si>
  <si>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</si>
  <si>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</si>
  <si>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</si>
  <si>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</si>
  <si>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</si>
  <si>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</si>
  <si>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</si>
  <si>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</si>
  <si>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</si>
  <si>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</si>
  <si>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</si>
  <si>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</si>
  <si>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</si>
  <si>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</si>
  <si>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</si>
  <si>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</si>
  <si>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</si>
  <si>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</si>
  <si>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</si>
  <si>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</si>
  <si>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</si>
  <si>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</si>
  <si>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</si>
  <si>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</si>
  <si>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</si>
  <si>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</si>
  <si>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</si>
  <si>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</si>
  <si>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</si>
  <si>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</si>
  <si>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</si>
  <si>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</si>
  <si>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</si>
  <si>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</si>
  <si>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</si>
  <si>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</si>
  <si>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</si>
  <si>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</si>
  <si>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</si>
  <si>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</si>
  <si>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</si>
  <si>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</si>
  <si>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</si>
  <si>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</si>
  <si>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</si>
  <si>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</si>
  <si>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</si>
  <si>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</si>
  <si>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</si>
  <si>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</si>
  <si>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</si>
  <si>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</si>
  <si>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</si>
  <si>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</si>
  <si>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</si>
  <si>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</si>
  <si>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</si>
  <si>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</si>
  <si>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</si>
  <si>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</si>
  <si>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</si>
  <si>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</si>
  <si>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</si>
  <si>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</si>
  <si>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</si>
  <si>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</si>
  <si>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</si>
  <si>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</si>
  <si>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</si>
  <si>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</si>
  <si>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</si>
  <si>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</si>
  <si>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</si>
  <si>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</si>
  <si>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</si>
  <si>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</si>
  <si>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</si>
  <si>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</si>
  <si>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</si>
  <si>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</si>
  <si>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</si>
  <si>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</si>
  <si>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</si>
  <si>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</si>
  <si>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</si>
  <si>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</si>
  <si>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</si>
  <si>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</si>
  <si>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</si>
  <si>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</si>
  <si>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</si>
  <si>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</si>
  <si>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</si>
  <si>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</si>
  <si>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</si>
  <si>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</si>
  <si>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</si>
  <si>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</si>
  <si>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</si>
  <si>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</si>
  <si>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</si>
  <si>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</si>
  <si>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</si>
  <si>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</si>
  <si>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</si>
  <si>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</si>
  <si>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</si>
  <si>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</si>
  <si>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</si>
  <si>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</si>
  <si>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</si>
  <si>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</si>
  <si>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</si>
  <si>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</si>
  <si>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</si>
  <si>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</si>
  <si>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</si>
  <si>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</si>
  <si>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</si>
  <si>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</si>
  <si>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</si>
  <si>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</si>
  <si>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</si>
  <si>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</si>
  <si>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</si>
  <si>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Kim Industries, Inc.</t>
  </si>
  <si>
    <t>34 Mill Plain Rd. Suite 2D</t>
  </si>
  <si>
    <t xml:space="preserve">Danbury </t>
  </si>
  <si>
    <t>26-0389140</t>
  </si>
  <si>
    <t>Nicole Nucatola</t>
  </si>
  <si>
    <t>Accounting Administrator</t>
  </si>
  <si>
    <t>Insulation Workers, Mechanical</t>
  </si>
  <si>
    <t>Sheet Metal Workers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</si>
</sst>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14" fontId="11" fillId="4" borderId="25" xfId="0" applyNumberFormat="1" applyFont="1" applyFill="1" applyBorder="1" applyAlignment="1" applyProtection="1"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456080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82924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D1" zoomScale="85" zoomScaleNormal="85" zoomScaleSheetLayoutView="40" zoomScalePageLayoutView="96" workbookViewId="0">
      <selection activeCell="AA27" sqref="AA27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1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0" t="s">
        <v>322</v>
      </c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170"/>
      <c r="AG2" s="170"/>
      <c r="AH2" s="170"/>
      <c r="AI2" s="170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69" t="s">
        <v>321</v>
      </c>
      <c r="J5" s="169"/>
      <c r="K5" s="169"/>
      <c r="L5" s="169"/>
      <c r="M5" s="169"/>
      <c r="N5" s="169"/>
      <c r="O5" s="169"/>
      <c r="P5" s="169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3"/>
      <c r="F6" s="181"/>
      <c r="G6" s="131"/>
      <c r="H6" s="40"/>
      <c r="I6" s="181"/>
      <c r="J6" s="181"/>
      <c r="K6" s="181"/>
      <c r="L6" s="181"/>
      <c r="M6" s="181"/>
      <c r="N6" s="181"/>
      <c r="O6" s="181"/>
      <c r="P6" s="18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0"/>
      <c r="N7" s="180"/>
      <c r="O7" s="180"/>
      <c r="P7" s="180"/>
      <c r="Q7" s="131"/>
      <c r="R7" s="71"/>
      <c r="S7" s="43" t="s">
        <v>6</v>
      </c>
      <c r="T7" s="115"/>
      <c r="U7" s="70"/>
      <c r="V7" s="2"/>
      <c r="W7" s="2"/>
      <c r="X7" s="171" t="s">
        <v>1841</v>
      </c>
      <c r="Y7" s="175"/>
      <c r="Z7" s="175"/>
      <c r="AA7" s="175"/>
      <c r="AB7" s="175"/>
      <c r="AC7" s="175"/>
      <c r="AD7" s="175"/>
      <c r="AE7" s="176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0" t="s">
        <v>1837</v>
      </c>
      <c r="E8" s="150"/>
      <c r="F8" s="150"/>
      <c r="G8" s="70"/>
      <c r="H8" s="41"/>
      <c r="I8" s="162"/>
      <c r="J8" s="182"/>
      <c r="K8" s="163"/>
      <c r="L8" s="162"/>
      <c r="M8" s="163"/>
      <c r="N8" s="130"/>
      <c r="O8" s="162"/>
      <c r="P8" s="163"/>
      <c r="Q8" s="131"/>
      <c r="R8" s="38"/>
      <c r="S8" s="43" t="s">
        <v>7</v>
      </c>
      <c r="T8" s="115"/>
      <c r="U8" s="53"/>
      <c r="V8" s="2"/>
      <c r="W8" s="2"/>
      <c r="X8" s="177" t="s">
        <v>1842</v>
      </c>
      <c r="Y8" s="178"/>
      <c r="Z8" s="178"/>
      <c r="AA8" s="178"/>
      <c r="AB8" s="178"/>
      <c r="AC8" s="178"/>
      <c r="AD8" s="178"/>
      <c r="AE8" s="179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0" t="s">
        <v>1838</v>
      </c>
      <c r="E9" s="150"/>
      <c r="F9" s="150"/>
      <c r="G9" s="70"/>
      <c r="H9" s="41"/>
      <c r="I9" s="162"/>
      <c r="J9" s="182"/>
      <c r="K9" s="163"/>
      <c r="L9" s="162"/>
      <c r="M9" s="163"/>
      <c r="N9" s="130"/>
      <c r="O9" s="162"/>
      <c r="P9" s="163"/>
      <c r="Q9" s="131"/>
      <c r="R9" s="38"/>
      <c r="S9" s="43" t="s">
        <v>8</v>
      </c>
      <c r="T9" s="115"/>
      <c r="U9" s="70"/>
      <c r="V9" s="2"/>
      <c r="W9" s="2"/>
      <c r="X9" s="187">
        <v>43325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 t="s">
        <v>428</v>
      </c>
      <c r="F10" s="32">
        <v>6811</v>
      </c>
      <c r="G10" s="70"/>
      <c r="H10" s="41"/>
      <c r="I10" s="151"/>
      <c r="J10" s="151"/>
      <c r="K10" s="151"/>
      <c r="L10" s="151"/>
      <c r="M10" s="151"/>
      <c r="N10" s="126"/>
      <c r="O10" s="151"/>
      <c r="P10" s="151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6" t="s">
        <v>1840</v>
      </c>
      <c r="E11" s="167"/>
      <c r="F11" s="168"/>
      <c r="G11" s="53"/>
      <c r="H11" s="41"/>
      <c r="I11" s="151"/>
      <c r="J11" s="151"/>
      <c r="K11" s="151"/>
      <c r="L11" s="151"/>
      <c r="M11" s="151"/>
      <c r="N11" s="126"/>
      <c r="O11" s="151"/>
      <c r="P11" s="151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1"/>
      <c r="E13" s="172"/>
      <c r="F13" s="173"/>
      <c r="G13" s="114"/>
      <c r="H13" s="41"/>
      <c r="I13" s="161" t="s">
        <v>5</v>
      </c>
      <c r="J13" s="161"/>
      <c r="K13" s="161"/>
      <c r="L13" s="161"/>
      <c r="M13" s="161"/>
      <c r="N13" s="161"/>
      <c r="O13" s="161"/>
      <c r="P13" s="161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0" t="s">
        <v>1835</v>
      </c>
      <c r="E14" s="150"/>
      <c r="F14" s="150"/>
      <c r="G14" s="70"/>
      <c r="H14" s="41"/>
      <c r="I14" s="151"/>
      <c r="J14" s="151"/>
      <c r="K14" s="151"/>
      <c r="L14" s="151"/>
      <c r="M14" s="151"/>
      <c r="N14" s="151"/>
      <c r="O14" s="151"/>
      <c r="P14" s="151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1"/>
      <c r="J15" s="151"/>
      <c r="K15" s="151"/>
      <c r="L15" s="151"/>
      <c r="M15" s="151"/>
      <c r="N15" s="151"/>
      <c r="O15" s="151"/>
      <c r="P15" s="151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2" t="s">
        <v>11</v>
      </c>
      <c r="D18" s="164" t="s">
        <v>9</v>
      </c>
      <c r="E18" s="152" t="s">
        <v>10</v>
      </c>
      <c r="F18" s="156" t="s">
        <v>1825</v>
      </c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8"/>
      <c r="AJ18" s="2"/>
      <c r="AK18" s="2"/>
    </row>
    <row r="19" spans="1:37" ht="46.5" customHeight="1" thickBot="1" x14ac:dyDescent="0.3">
      <c r="A19" s="2"/>
      <c r="B19" s="2"/>
      <c r="C19" s="153"/>
      <c r="D19" s="165"/>
      <c r="E19" s="153"/>
      <c r="F19" s="154" t="s">
        <v>1</v>
      </c>
      <c r="G19" s="154"/>
      <c r="H19" s="154"/>
      <c r="I19" s="154"/>
      <c r="J19" s="154"/>
      <c r="K19" s="155"/>
      <c r="L19" s="159" t="s">
        <v>13</v>
      </c>
      <c r="M19" s="154"/>
      <c r="N19" s="154"/>
      <c r="O19" s="154"/>
      <c r="P19" s="154"/>
      <c r="Q19" s="155"/>
      <c r="R19" s="159" t="s">
        <v>12</v>
      </c>
      <c r="S19" s="154"/>
      <c r="T19" s="154"/>
      <c r="U19" s="154"/>
      <c r="V19" s="154"/>
      <c r="W19" s="155"/>
      <c r="X19" s="184" t="s">
        <v>1826</v>
      </c>
      <c r="Y19" s="185"/>
      <c r="Z19" s="185"/>
      <c r="AA19" s="185"/>
      <c r="AB19" s="185"/>
      <c r="AC19" s="186"/>
      <c r="AD19" s="142" t="s">
        <v>14</v>
      </c>
      <c r="AE19" s="143"/>
      <c r="AF19" s="143"/>
      <c r="AG19" s="143"/>
      <c r="AH19" s="143"/>
      <c r="AI19" s="144"/>
      <c r="AJ19" s="2"/>
      <c r="AK19" s="2"/>
    </row>
    <row r="20" spans="1:37" ht="15.75" thickBot="1" x14ac:dyDescent="0.3">
      <c r="A20" s="2"/>
      <c r="B20" s="2"/>
      <c r="C20" s="153"/>
      <c r="D20" s="165"/>
      <c r="E20" s="153"/>
      <c r="F20" s="148" t="s">
        <v>2</v>
      </c>
      <c r="G20" s="148"/>
      <c r="H20" s="149"/>
      <c r="I20" s="147" t="s">
        <v>3</v>
      </c>
      <c r="J20" s="148"/>
      <c r="K20" s="149"/>
      <c r="L20" s="147" t="s">
        <v>2</v>
      </c>
      <c r="M20" s="148"/>
      <c r="N20" s="149"/>
      <c r="O20" s="147" t="s">
        <v>3</v>
      </c>
      <c r="P20" s="148"/>
      <c r="Q20" s="149"/>
      <c r="R20" s="147" t="s">
        <v>2</v>
      </c>
      <c r="S20" s="148"/>
      <c r="T20" s="149"/>
      <c r="U20" s="147" t="s">
        <v>3</v>
      </c>
      <c r="V20" s="148"/>
      <c r="W20" s="149"/>
      <c r="X20" s="147" t="s">
        <v>2</v>
      </c>
      <c r="Y20" s="148"/>
      <c r="Z20" s="149"/>
      <c r="AA20" s="147" t="s">
        <v>3</v>
      </c>
      <c r="AB20" s="148"/>
      <c r="AC20" s="149"/>
      <c r="AD20" s="147" t="s">
        <v>2</v>
      </c>
      <c r="AE20" s="148"/>
      <c r="AF20" s="149"/>
      <c r="AG20" s="147" t="s">
        <v>3</v>
      </c>
      <c r="AH20" s="148"/>
      <c r="AI20" s="149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1843</v>
      </c>
      <c r="E22" s="92"/>
      <c r="F22" s="96">
        <v>7</v>
      </c>
      <c r="G22" s="96">
        <v>541</v>
      </c>
      <c r="H22" s="94">
        <v>16014.74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 t="s">
        <v>319</v>
      </c>
      <c r="D23" s="33" t="s">
        <v>1844</v>
      </c>
      <c r="E23" s="92" t="str">
        <f>IF(ISERROR(VLOOKUP(D23,Sheet3!$A$2:$B$821,2,FALSE)),"",(VLOOKUP(D23,Sheet3!$A$2:$B$821,2,FALSE)))</f>
        <v>47-2211</v>
      </c>
      <c r="F23" s="96">
        <v>1</v>
      </c>
      <c r="G23" s="96">
        <v>151</v>
      </c>
      <c r="H23" s="94">
        <v>4259.71</v>
      </c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>
        <v>1</v>
      </c>
      <c r="AE23" s="100">
        <v>75</v>
      </c>
      <c r="AF23" s="122">
        <v>2115.75</v>
      </c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4"/>
      <c r="D38" s="174"/>
      <c r="E38" s="174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5"/>
      <c r="T38" s="145"/>
      <c r="U38" s="146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8</v>
      </c>
      <c r="G39" s="95">
        <f>SUM(G22:G37)</f>
        <v>692</v>
      </c>
      <c r="H39" s="113">
        <f>SUM(H22:H37)</f>
        <v>20274.45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1</v>
      </c>
      <c r="AE39" s="95">
        <f t="shared" si="0"/>
        <v>75</v>
      </c>
      <c r="AF39" s="113">
        <f>SUM(AF22:AF37)</f>
        <v>2115.75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0"/>
      <c r="D42" s="160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6" t="s">
        <v>1829</v>
      </c>
      <c r="D43" s="137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8"/>
      <c r="D44" s="139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8"/>
      <c r="D45" s="139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8"/>
      <c r="D46" s="139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0"/>
      <c r="D47" s="141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447675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76200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Nicole N</cp:lastModifiedBy>
  <cp:lastPrinted>2018-03-13T18:31:28Z</cp:lastPrinted>
  <dcterms:created xsi:type="dcterms:W3CDTF">2016-01-07T15:16:02Z</dcterms:created>
  <dcterms:modified xsi:type="dcterms:W3CDTF">2018-08-13T19:28:35Z</dcterms:modified>
</cp:coreProperties>
</file>